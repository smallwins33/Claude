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執行摘要" sheetId="1" state="visible" r:id="rId1"/>
    <sheet name="📢 廣告素材效益" sheetId="2" state="visible" r:id="rId2"/>
    <sheet name="📋 諮詢比對明細" sheetId="3" state="visible" r:id="rId3"/>
    <sheet name="📥 Systeme名單統計" sheetId="4" state="visible" r:id="rId4"/>
    <sheet name="🎯 廣告決策矩陣" sheetId="5" state="visible" r:id="rId5"/>
    <sheet name="📋 決策摘要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555555"/>
      <sz val="9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1A2E44"/>
      <sz val="10"/>
    </font>
    <font>
      <name val="Arial"/>
      <color rgb="00000000"/>
      <sz val="10"/>
    </font>
    <font>
      <name val="Arial"/>
      <color rgb="00555555"/>
      <sz val="10"/>
    </font>
    <font>
      <name val="Arial"/>
      <b val="1"/>
      <color rgb="00FFFFFF"/>
      <sz val="10"/>
    </font>
    <font>
      <name val="Arial"/>
      <b val="1"/>
      <color rgb="001E7E34"/>
      <sz val="10"/>
    </font>
    <font>
      <name val="Arial"/>
      <color rgb="001E7E34"/>
      <sz val="10"/>
    </font>
    <font>
      <name val="Arial"/>
      <b val="1"/>
      <color rgb="00856404"/>
      <sz val="10"/>
    </font>
    <font>
      <name val="Arial"/>
      <color rgb="00856404"/>
      <sz val="10"/>
    </font>
    <font>
      <name val="Arial"/>
      <b val="1"/>
      <color rgb="005A4E00"/>
      <sz val="10"/>
    </font>
    <font>
      <name val="Arial"/>
      <color rgb="005A4E00"/>
      <sz val="10"/>
    </font>
    <font>
      <name val="Arial"/>
      <b val="1"/>
      <color rgb="00721C24"/>
      <sz val="10"/>
    </font>
    <font>
      <name val="Arial"/>
      <color rgb="00721C24"/>
      <sz val="10"/>
    </font>
    <font>
      <name val="Arial"/>
      <b val="1"/>
      <color rgb="00FFFFFF"/>
      <sz val="13"/>
    </font>
    <font>
      <name val="Arial"/>
      <b val="1"/>
      <color rgb="000C5460"/>
      <sz val="10"/>
    </font>
    <font>
      <name val="Arial"/>
      <b val="1"/>
      <color rgb="006C757D"/>
      <sz val="10"/>
    </font>
    <font>
      <name val="Arial"/>
      <b val="1"/>
      <color rgb="006B5900"/>
      <sz val="10"/>
    </font>
    <font>
      <name val="Arial"/>
      <b val="1"/>
      <color rgb="00721C24"/>
      <sz val="11"/>
    </font>
    <font>
      <name val="Arial"/>
      <b val="1"/>
      <color rgb="00856404"/>
      <sz val="11"/>
    </font>
  </fonts>
  <fills count="15">
    <fill>
      <patternFill/>
    </fill>
    <fill>
      <patternFill patternType="gray125"/>
    </fill>
    <fill>
      <patternFill patternType="solid">
        <fgColor rgb="001A2E44"/>
      </patternFill>
    </fill>
    <fill>
      <patternFill patternType="solid">
        <fgColor rgb="00F0F4F8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34495E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EF9E7"/>
      </patternFill>
    </fill>
    <fill>
      <patternFill patternType="solid">
        <fgColor rgb="00F8D7DA"/>
      </patternFill>
    </fill>
    <fill>
      <patternFill patternType="solid">
        <fgColor rgb="00F8F9FA"/>
      </patternFill>
    </fill>
    <fill>
      <patternFill patternType="solid">
        <fgColor rgb="002C3E50"/>
      </patternFill>
    </fill>
    <fill>
      <patternFill patternType="solid">
        <fgColor rgb="00D1ECF1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3" fontId="10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3" fontId="12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left" vertical="center" wrapText="1"/>
    </xf>
    <xf numFmtId="3" fontId="14" fillId="9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3" fontId="16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17" fillId="2" borderId="0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3" fontId="6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 wrapText="1"/>
    </xf>
    <xf numFmtId="0" fontId="18" fillId="1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20" fillId="14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3" fontId="8" fillId="12" borderId="1" applyAlignment="1" pivotButton="0" quotePrefix="0" xfId="0">
      <alignment horizontal="left" vertical="center" wrapText="1"/>
    </xf>
    <xf numFmtId="164" fontId="8" fillId="12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left" vertical="center" wrapText="1"/>
    </xf>
    <xf numFmtId="165" fontId="6" fillId="4" borderId="1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left" vertical="center" wrapText="1"/>
    </xf>
    <xf numFmtId="3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0" fillId="14" borderId="1" applyAlignment="1" pivotButton="0" quotePrefix="0" xfId="0">
      <alignment horizontal="center" vertical="center"/>
    </xf>
    <xf numFmtId="0" fontId="21" fillId="10" borderId="0" applyAlignment="1" pivotButton="0" quotePrefix="0" xfId="0">
      <alignment horizontal="left" vertical="center" wrapText="1"/>
    </xf>
    <xf numFmtId="164" fontId="6" fillId="10" borderId="1" applyAlignment="1" pivotButton="0" quotePrefix="0" xfId="0">
      <alignment horizontal="center" vertical="center"/>
    </xf>
    <xf numFmtId="0" fontId="22" fillId="8" borderId="0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0" customWidth="1" min="3" max="3"/>
    <col width="24" customWidth="1" min="4" max="4"/>
    <col width="10" customWidth="1" min="5" max="5"/>
    <col width="8" customWidth="1" min="6" max="6"/>
  </cols>
  <sheetData>
    <row r="1" ht="38" customHeight="1">
      <c r="A1" s="1" t="inlineStr">
        <is>
          <t>BRAND 課程廣告效益分析報告｜2026年4月W17上週</t>
        </is>
      </c>
    </row>
    <row r="2" ht="18" customHeight="1">
      <c r="A2" s="2" t="inlineStr">
        <is>
          <t>數據來源：Meta 廣告報表 × Systeme 名單 × Notion 諮詢記錄｜CPL 判準：≤$5 好 / $5–$8 警示 / ≥$8 不行</t>
        </is>
      </c>
    </row>
    <row r="3" ht="26" customHeight="1">
      <c r="A3" s="3" t="inlineStr">
        <is>
          <t>▌ 關鍵指標總覽</t>
        </is>
      </c>
    </row>
    <row r="4" ht="22" customHeight="1">
      <c r="A4" s="4" t="inlineStr">
        <is>
          <t>廣告總花費</t>
        </is>
      </c>
      <c r="B4" s="5" t="inlineStr">
        <is>
          <t>$685.47 USD</t>
        </is>
      </c>
      <c r="D4" s="6" t="inlineStr"/>
      <c r="E4" s="6" t="inlineStr"/>
      <c r="F4" s="6" t="inlineStr"/>
    </row>
    <row r="5" ht="22" customHeight="1">
      <c r="A5" s="4" t="inlineStr">
        <is>
          <t>Meta 廣告帶來名單數（CPL）</t>
        </is>
      </c>
      <c r="B5" s="5" t="inlineStr">
        <is>
          <t>150 人｜$4.57/筆</t>
        </is>
      </c>
      <c r="D5" s="6" t="inlineStr"/>
      <c r="E5" s="6" t="inlineStr"/>
      <c r="F5" s="6" t="inlineStr"/>
    </row>
    <row r="6" ht="22" customHeight="1">
      <c r="A6" s="4" t="inlineStr">
        <is>
          <t>Systeme 實際收到名單數</t>
        </is>
      </c>
      <c r="B6" s="5" t="inlineStr">
        <is>
          <t>166 人</t>
        </is>
      </c>
      <c r="D6" s="6" t="inlineStr"/>
      <c r="E6" s="6" t="inlineStr"/>
      <c r="F6" s="6" t="inlineStr"/>
    </row>
    <row r="7" ht="22" customHeight="1">
      <c r="A7" s="4" t="inlineStr">
        <is>
          <t>諮詢預約總數</t>
        </is>
      </c>
      <c r="B7" s="5" t="inlineStr">
        <is>
          <t>3 筆（未出席 0 筆）</t>
        </is>
      </c>
      <c r="D7" s="6" t="inlineStr"/>
      <c r="E7" s="6" t="inlineStr"/>
      <c r="F7" s="6" t="inlineStr"/>
    </row>
    <row r="8" ht="22" customHeight="1">
      <c r="A8" s="4" t="inlineStr">
        <is>
          <t>CPQL（含未出席）</t>
        </is>
      </c>
      <c r="B8" s="5" t="inlineStr">
        <is>
          <t>0 筆｜無歸因數據</t>
        </is>
      </c>
      <c r="D8" s="6" t="inlineStr"/>
      <c r="E8" s="6" t="inlineStr"/>
      <c r="F8" s="6" t="inlineStr"/>
    </row>
    <row r="9" ht="22" customHeight="1">
      <c r="A9" s="4" t="inlineStr">
        <is>
          <t>CP合格QL（排除未出席）</t>
        </is>
      </c>
      <c r="B9" s="5" t="inlineStr">
        <is>
          <t>0 筆｜無歸因數據</t>
        </is>
      </c>
      <c r="D9" s="6" t="inlineStr"/>
      <c r="E9" s="6" t="inlineStr"/>
      <c r="F9" s="6" t="inlineStr"/>
    </row>
    <row r="10" ht="20" customHeight="1">
      <c r="A10" s="7" t="inlineStr">
        <is>
          <t>CPQL（含未出席）</t>
        </is>
      </c>
      <c r="B10" s="8" t="inlineStr">
        <is>
          <t>花費 ÷ 總諮詢數。反映廣告帶來諮詢的整體成本，含動機不足者。</t>
        </is>
      </c>
    </row>
    <row r="11" ht="20" customHeight="1">
      <c r="A11" s="7" t="inlineStr">
        <is>
          <t>CP合格QL（排除未出席）</t>
        </is>
      </c>
      <c r="B11" s="8" t="inlineStr">
        <is>
          <t>花費 ÷ 有出席諮詢數。排除未到場者，更準確反映廣告帶到有意願受眾的成本。</t>
        </is>
      </c>
    </row>
    <row r="13" ht="26" customHeight="1">
      <c r="A13" s="3" t="inlineStr">
        <is>
          <t>▌ 諮詢來源拆解（共 3 筆）</t>
        </is>
      </c>
    </row>
    <row r="14" ht="36" customHeight="1">
      <c r="A14" s="9" t="inlineStr">
        <is>
          <t>來源類型</t>
        </is>
      </c>
      <c r="B14" s="9" t="inlineStr">
        <is>
          <t>筆數</t>
        </is>
      </c>
      <c r="C14" s="9" t="inlineStr">
        <is>
          <t>說明</t>
        </is>
      </c>
      <c r="D14" s="9" t="inlineStr"/>
      <c r="E14" s="9" t="inlineStr"/>
      <c r="F14" s="9" t="inlineStr"/>
    </row>
    <row r="15" ht="22" customHeight="1">
      <c r="A15" s="10" t="inlineStr">
        <is>
          <t>✅ Meta廣告（可追蹤）</t>
        </is>
      </c>
      <c r="B15" s="11" t="n">
        <v>0</v>
      </c>
      <c r="C15" s="6" t="inlineStr">
        <is>
          <t>來自具體廣告編號，可對應廣告素材</t>
        </is>
      </c>
    </row>
    <row r="16" ht="22" customHeight="1">
      <c r="A16" s="12" t="inlineStr">
        <is>
          <t>🔗 Link in Bio</t>
        </is>
      </c>
      <c r="B16" s="13" t="n">
        <v>0</v>
      </c>
      <c r="C16" s="6" t="inlineStr">
        <is>
          <t>從個人主頁連結進來，非廣告投放</t>
        </is>
      </c>
    </row>
    <row r="17" ht="22" customHeight="1">
      <c r="A17" s="14" t="inlineStr">
        <is>
          <t>❓ 無廣告編號（其他）</t>
        </is>
      </c>
      <c r="B17" s="15" t="n">
        <v>0</v>
      </c>
      <c r="C17" s="6" t="inlineStr">
        <is>
          <t>在 Systeme 名單中但無廣告編號，可能為直接搜尋或分享</t>
        </is>
      </c>
    </row>
    <row r="18" ht="22" customHeight="1">
      <c r="A18" s="16" t="inlineStr">
        <is>
          <t>❌ 不在Systeme名單</t>
        </is>
      </c>
      <c r="B18" s="17" t="n">
        <v>3</v>
      </c>
      <c r="C18" s="6" t="inlineStr">
        <is>
          <t>未透過名單磁鐵流程，可能直接看到諮詢連結</t>
        </is>
      </c>
    </row>
    <row r="21" ht="26" customHeight="1">
      <c r="A21" s="3" t="inlineStr">
        <is>
          <t>▌ 分析結論</t>
        </is>
      </c>
    </row>
    <row r="22" ht="22" customHeight="1">
      <c r="A22" s="18" t="inlineStr">
        <is>
          <t>【建議關閉】3 支廣告 CPL 超標且無諮詢轉換，建議停止投放，釋放預算給優質素材。</t>
        </is>
      </c>
    </row>
    <row r="23" ht="22" customHeight="1">
      <c r="A23" s="18" t="inlineStr">
        <is>
          <t>【謹慎觀察】8 支廣告 CPL 尚可但尚未帶出諮詢，繼續觀察，不急著加碼或砍掉。</t>
        </is>
      </c>
    </row>
    <row r="24" ht="22" customHeight="1">
      <c r="A24" s="18" t="inlineStr">
        <is>
          <t>【追蹤缺口】本期 3 筆諮詢中，0 筆可歸因到廣告編號，建議確認落地頁廣告編號參數是否正確帶入。</t>
        </is>
      </c>
    </row>
  </sheetData>
  <mergeCells count="20">
    <mergeCell ref="C17:F17"/>
    <mergeCell ref="B7:C7"/>
    <mergeCell ref="A3:F3"/>
    <mergeCell ref="A21:F21"/>
    <mergeCell ref="A2:F2"/>
    <mergeCell ref="C18:F18"/>
    <mergeCell ref="B11:F11"/>
    <mergeCell ref="A23:F23"/>
    <mergeCell ref="A22:F22"/>
    <mergeCell ref="C15:F15"/>
    <mergeCell ref="B8:C8"/>
    <mergeCell ref="A13:F13"/>
    <mergeCell ref="B10:F10"/>
    <mergeCell ref="C16:F16"/>
    <mergeCell ref="B9:C9"/>
    <mergeCell ref="A24:F24"/>
    <mergeCell ref="B6:C6"/>
    <mergeCell ref="B5:C5"/>
    <mergeCell ref="A1:F1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8" customWidth="1" min="4" max="4"/>
    <col width="9" customWidth="1" min="5" max="5"/>
    <col width="11" customWidth="1" min="6" max="6"/>
    <col width="9" customWidth="1" min="7" max="7"/>
    <col width="11" customWidth="1" min="8" max="8"/>
    <col width="11" customWidth="1" min="9" max="9"/>
    <col width="9" customWidth="1" min="10" max="10"/>
    <col width="10" customWidth="1" min="11" max="11"/>
    <col width="7" customWidth="1" min="12" max="12"/>
    <col width="7" customWidth="1" min="13" max="13"/>
    <col width="7" customWidth="1" min="14" max="14"/>
    <col width="11" customWidth="1" min="15" max="15"/>
    <col width="11" customWidth="1" min="16" max="16"/>
    <col width="7" customWidth="1" min="17" max="17"/>
    <col width="22" customWidth="1" min="18" max="18"/>
    <col width="16" customWidth="1" min="19" max="19"/>
    <col width="20" customWidth="1" min="20" max="20"/>
    <col width="12" customWidth="1" min="21" max="21"/>
    <col width="28" customWidth="1" min="22" max="22"/>
  </cols>
  <sheetData>
    <row r="1" ht="34" customHeight="1">
      <c r="A1" s="19" t="inlineStr">
        <is>
          <t>廣告素材效益分析｜2026年4月W17上週｜CPL 判準：≤$5 好 / $5–$8 警示 / ≥$8 不行</t>
        </is>
      </c>
    </row>
    <row r="2" ht="36" customHeight="1">
      <c r="A2" s="20" t="inlineStr">
        <is>
          <t>廣告名稱</t>
        </is>
      </c>
      <c r="B2" s="20" t="inlineStr">
        <is>
          <t>廣告編號</t>
        </is>
      </c>
      <c r="C2" s="20" t="inlineStr">
        <is>
          <t>廣告組合</t>
        </is>
      </c>
      <c r="D2" s="20" t="inlineStr">
        <is>
          <t>狀態</t>
        </is>
      </c>
      <c r="E2" s="20" t="inlineStr">
        <is>
          <t>本期
Meta成果</t>
        </is>
      </c>
      <c r="F2" s="20" t="inlineStr">
        <is>
          <t>本期
CPL</t>
        </is>
      </c>
      <c r="G2" s="20" t="inlineStr">
        <is>
          <t>Systeme
名單數</t>
        </is>
      </c>
      <c r="H2" s="20" t="inlineStr">
        <is>
          <t>Systeme
CPL</t>
        </is>
      </c>
      <c r="I2" s="20" t="inlineStr">
        <is>
          <t>本期花費
(USD)</t>
        </is>
      </c>
      <c r="J2" s="20" t="inlineStr">
        <is>
          <t>觸及
人數</t>
        </is>
      </c>
      <c r="K2" s="20" t="inlineStr">
        <is>
          <t>曝光
次數</t>
        </is>
      </c>
      <c r="L2" s="20" t="inlineStr">
        <is>
          <t>諮詢
數量</t>
        </is>
      </c>
      <c r="M2" s="20" t="inlineStr">
        <is>
          <t>成交
數量</t>
        </is>
      </c>
      <c r="N2" s="20" t="inlineStr">
        <is>
          <t>需跟進
數量</t>
        </is>
      </c>
      <c r="O2" s="20" t="inlineStr">
        <is>
          <t>CPQL
(USD)</t>
        </is>
      </c>
      <c r="P2" s="20" t="inlineStr">
        <is>
          <t>CP合格QL
(USD)</t>
        </is>
      </c>
      <c r="Q2" s="20" t="inlineStr">
        <is>
          <t>未出席
數</t>
        </is>
      </c>
      <c r="R2" s="20" t="inlineStr">
        <is>
          <t>諮詢者姓名</t>
        </is>
      </c>
      <c r="S2" s="20" t="inlineStr">
        <is>
          <t>四象限</t>
        </is>
      </c>
      <c r="T2" s="20" t="inlineStr">
        <is>
          <t>趨勢
(4/7天)</t>
        </is>
      </c>
      <c r="U2" s="20" t="inlineStr">
        <is>
          <t>趨勢
建議</t>
        </is>
      </c>
      <c r="V2" s="20" t="inlineStr">
        <is>
          <t>最終建議</t>
        </is>
      </c>
    </row>
    <row r="3" ht="22" customHeight="1">
      <c r="A3" s="6" t="inlineStr">
        <is>
          <t>0426 I 人的長遠經營法</t>
        </is>
      </c>
      <c r="B3" s="6" t="inlineStr">
        <is>
          <t>120220257203550783</t>
        </is>
      </c>
      <c r="C3" s="6" t="inlineStr">
        <is>
          <t>L06-25-44-類似受眾_名單 2% 0413</t>
        </is>
      </c>
      <c r="D3" s="6" t="inlineStr"/>
      <c r="E3" s="21" t="n">
        <v>23</v>
      </c>
      <c r="F3" s="22" t="n">
        <v>4.1748</v>
      </c>
      <c r="G3" s="21" t="n">
        <v>9</v>
      </c>
      <c r="H3" s="22" t="n">
        <v>10.66888888888889</v>
      </c>
      <c r="I3" s="22" t="n">
        <v>96.02</v>
      </c>
      <c r="J3" s="21" t="n">
        <v>9828</v>
      </c>
      <c r="K3" s="21" t="n">
        <v>12223</v>
      </c>
      <c r="L3" s="21" t="n">
        <v>0</v>
      </c>
      <c r="M3" s="21" t="n">
        <v>0</v>
      </c>
      <c r="N3" s="21" t="n">
        <v>0</v>
      </c>
      <c r="O3" s="22" t="n"/>
      <c r="P3" s="22" t="n"/>
      <c r="Q3" s="21" t="n">
        <v>0</v>
      </c>
      <c r="R3" s="6" t="inlineStr">
        <is>
          <t>—</t>
        </is>
      </c>
      <c r="S3" s="23" t="inlineStr">
        <is>
          <t>⚠️ 第三等</t>
        </is>
      </c>
      <c r="T3" s="24" t="inlineStr">
        <is>
          <t>🔄 4天差＋7天好</t>
        </is>
      </c>
      <c r="U3" s="24" t="inlineStr">
        <is>
          <t>觀察到下階段</t>
        </is>
      </c>
      <c r="V3" s="23" t="inlineStr">
        <is>
          <t>⚠️ 謹慎保留，觀察是否帶出諮詢</t>
        </is>
      </c>
    </row>
    <row r="4" ht="22" customHeight="1">
      <c r="A4" s="25" t="inlineStr">
        <is>
          <t>0623 Ｉ人變體Ｃ_不跟風</t>
        </is>
      </c>
      <c r="B4" s="25" t="inlineStr">
        <is>
          <t>120226368838380783</t>
        </is>
      </c>
      <c r="C4" s="25" t="inlineStr">
        <is>
          <t>L06-25-44-類似受眾_學員 1% 0409</t>
        </is>
      </c>
      <c r="D4" s="25" t="inlineStr"/>
      <c r="E4" s="26" t="n">
        <v>35</v>
      </c>
      <c r="F4" s="27" t="n">
        <v>3.8446</v>
      </c>
      <c r="G4" s="26" t="n">
        <v>12</v>
      </c>
      <c r="H4" s="27" t="n">
        <v>11.21333333333333</v>
      </c>
      <c r="I4" s="27" t="n">
        <v>134.56</v>
      </c>
      <c r="J4" s="26" t="n">
        <v>10521</v>
      </c>
      <c r="K4" s="26" t="n">
        <v>13994</v>
      </c>
      <c r="L4" s="26" t="n">
        <v>0</v>
      </c>
      <c r="M4" s="26" t="n">
        <v>0</v>
      </c>
      <c r="N4" s="26" t="n">
        <v>0</v>
      </c>
      <c r="O4" s="27" t="n"/>
      <c r="P4" s="27" t="n"/>
      <c r="Q4" s="26" t="n">
        <v>0</v>
      </c>
      <c r="R4" s="25" t="inlineStr">
        <is>
          <t>—</t>
        </is>
      </c>
      <c r="S4" s="23" t="inlineStr">
        <is>
          <t>⚠️ 第三等</t>
        </is>
      </c>
      <c r="T4" s="28" t="inlineStr">
        <is>
          <t>📈 4天好＋7天好</t>
        </is>
      </c>
      <c r="U4" s="28" t="inlineStr">
        <is>
          <t>加預算</t>
        </is>
      </c>
      <c r="V4" s="23" t="inlineStr">
        <is>
          <t>⚠️ 謹慎保留，觀察是否帶出諮詢</t>
        </is>
      </c>
    </row>
    <row r="5" ht="22" customHeight="1">
      <c r="A5" s="6" t="inlineStr">
        <is>
          <t>0912 I 人變體Ｂ_反預設</t>
        </is>
      </c>
      <c r="B5" s="6" t="inlineStr">
        <is>
          <t>120231851090270783</t>
        </is>
      </c>
      <c r="C5" s="6" t="inlineStr">
        <is>
          <t>L07-25-44-類似受眾_諮詢 1% 0413</t>
        </is>
      </c>
      <c r="D5" s="6" t="inlineStr"/>
      <c r="E5" s="21" t="n">
        <v>52</v>
      </c>
      <c r="F5" s="22" t="n">
        <v>3.3606</v>
      </c>
      <c r="G5" s="21" t="n">
        <v>26</v>
      </c>
      <c r="H5" s="22" t="n">
        <v>6.721153846153846</v>
      </c>
      <c r="I5" s="22" t="n">
        <v>174.75</v>
      </c>
      <c r="J5" s="21" t="n">
        <v>11392</v>
      </c>
      <c r="K5" s="21" t="n">
        <v>15839</v>
      </c>
      <c r="L5" s="21" t="n">
        <v>0</v>
      </c>
      <c r="M5" s="21" t="n">
        <v>0</v>
      </c>
      <c r="N5" s="21" t="n">
        <v>0</v>
      </c>
      <c r="O5" s="22" t="n"/>
      <c r="P5" s="22" t="n"/>
      <c r="Q5" s="21" t="n">
        <v>0</v>
      </c>
      <c r="R5" s="6" t="inlineStr">
        <is>
          <t>—</t>
        </is>
      </c>
      <c r="S5" s="23" t="inlineStr">
        <is>
          <t>⚠️ 第三等</t>
        </is>
      </c>
      <c r="T5" s="28" t="inlineStr">
        <is>
          <t>📈 4天好＋7天好</t>
        </is>
      </c>
      <c r="U5" s="28" t="inlineStr">
        <is>
          <t>加預算</t>
        </is>
      </c>
      <c r="V5" s="23" t="inlineStr">
        <is>
          <t>⚠️ 謹慎保留，觀察是否帶出諮詢</t>
        </is>
      </c>
    </row>
    <row r="6" ht="22" customHeight="1">
      <c r="A6" s="25" t="inlineStr">
        <is>
          <t>0917 用知識發光</t>
        </is>
      </c>
      <c r="B6" s="25" t="inlineStr">
        <is>
          <t>120232166679900783</t>
        </is>
      </c>
      <c r="C6" s="25" t="inlineStr">
        <is>
          <t>L11-30-50 創業 0917</t>
        </is>
      </c>
      <c r="D6" s="25" t="inlineStr"/>
      <c r="E6" s="26" t="n">
        <v>11</v>
      </c>
      <c r="F6" s="27" t="n">
        <v>3.33</v>
      </c>
      <c r="G6" s="26" t="n">
        <v>4</v>
      </c>
      <c r="H6" s="27" t="n">
        <v>9.157500000000001</v>
      </c>
      <c r="I6" s="27" t="n">
        <v>36.63</v>
      </c>
      <c r="J6" s="26" t="n">
        <v>4813</v>
      </c>
      <c r="K6" s="26" t="n">
        <v>5886</v>
      </c>
      <c r="L6" s="26" t="n">
        <v>0</v>
      </c>
      <c r="M6" s="26" t="n">
        <v>0</v>
      </c>
      <c r="N6" s="26" t="n">
        <v>0</v>
      </c>
      <c r="O6" s="27" t="n"/>
      <c r="P6" s="27" t="n"/>
      <c r="Q6" s="26" t="n">
        <v>0</v>
      </c>
      <c r="R6" s="25" t="inlineStr">
        <is>
          <t>—</t>
        </is>
      </c>
      <c r="S6" s="23" t="inlineStr">
        <is>
          <t>⚠️ 第三等</t>
        </is>
      </c>
      <c r="T6" s="29" t="inlineStr">
        <is>
          <t>⚪ 資料不足</t>
        </is>
      </c>
      <c r="U6" s="29" t="inlineStr">
        <is>
          <t>待觀察</t>
        </is>
      </c>
      <c r="V6" s="23" t="inlineStr">
        <is>
          <t>⚠️ 謹慎保留，觀察是否帶出諮詢</t>
        </is>
      </c>
    </row>
    <row r="7" ht="22" customHeight="1">
      <c r="A7" s="6" t="inlineStr">
        <is>
          <t>1031 不日更坐收長遠效益</t>
        </is>
      </c>
      <c r="B7" s="6" t="inlineStr">
        <is>
          <t>120234830077320783</t>
        </is>
      </c>
      <c r="C7" s="6" t="inlineStr">
        <is>
          <t>L06-25-44-類似受眾_學員 1% 0409</t>
        </is>
      </c>
      <c r="D7" s="6" t="inlineStr"/>
      <c r="E7" s="21" t="n">
        <v>0</v>
      </c>
      <c r="F7" s="22" t="n"/>
      <c r="G7" s="21" t="inlineStr">
        <is>
          <t>—</t>
        </is>
      </c>
      <c r="H7" s="22" t="n"/>
      <c r="I7" s="22" t="n">
        <v>3.73</v>
      </c>
      <c r="J7" s="21" t="n">
        <v>385</v>
      </c>
      <c r="K7" s="21" t="n">
        <v>440</v>
      </c>
      <c r="L7" s="21" t="n">
        <v>0</v>
      </c>
      <c r="M7" s="21" t="n">
        <v>0</v>
      </c>
      <c r="N7" s="21" t="n">
        <v>0</v>
      </c>
      <c r="O7" s="22" t="n"/>
      <c r="P7" s="22" t="n"/>
      <c r="Q7" s="21" t="n">
        <v>0</v>
      </c>
      <c r="R7" s="6" t="inlineStr">
        <is>
          <t>—</t>
        </is>
      </c>
      <c r="S7" s="30" t="inlineStr">
        <is>
          <t>🚫 垃圾廣告</t>
        </is>
      </c>
      <c r="T7" s="29" t="inlineStr">
        <is>
          <t>⚪ 資料不足</t>
        </is>
      </c>
      <c r="U7" s="29" t="inlineStr">
        <is>
          <t>待觀察</t>
        </is>
      </c>
      <c r="V7" s="30" t="inlineStr">
        <is>
          <t>❌ 建議關閉（無諮詢轉換）</t>
        </is>
      </c>
    </row>
    <row r="8" ht="22" customHeight="1">
      <c r="A8" s="25" t="inlineStr">
        <is>
          <t>1209 安靜擴張事業藍圖</t>
        </is>
      </c>
      <c r="B8" s="25" t="inlineStr">
        <is>
          <t>120237101955040783</t>
        </is>
      </c>
      <c r="C8" s="25" t="inlineStr">
        <is>
          <t>L11-30-50 創業 0917</t>
        </is>
      </c>
      <c r="D8" s="25" t="inlineStr"/>
      <c r="E8" s="26" t="n">
        <v>12</v>
      </c>
      <c r="F8" s="27" t="n">
        <v>7.5042</v>
      </c>
      <c r="G8" s="26" t="n">
        <v>6</v>
      </c>
      <c r="H8" s="27" t="n">
        <v>15.00833333333333</v>
      </c>
      <c r="I8" s="27" t="n">
        <v>90.05</v>
      </c>
      <c r="J8" s="26" t="n">
        <v>8067</v>
      </c>
      <c r="K8" s="26" t="n">
        <v>10229</v>
      </c>
      <c r="L8" s="26" t="n">
        <v>0</v>
      </c>
      <c r="M8" s="26" t="n">
        <v>0</v>
      </c>
      <c r="N8" s="26" t="n">
        <v>0</v>
      </c>
      <c r="O8" s="27" t="n"/>
      <c r="P8" s="27" t="n"/>
      <c r="Q8" s="26" t="n">
        <v>0</v>
      </c>
      <c r="R8" s="25" t="inlineStr">
        <is>
          <t>—</t>
        </is>
      </c>
      <c r="S8" s="31" t="inlineStr">
        <is>
          <t>🟡 警示觀察</t>
        </is>
      </c>
      <c r="T8" s="23" t="inlineStr">
        <is>
          <t>📊 4天好＋7天差</t>
        </is>
      </c>
      <c r="U8" s="23" t="inlineStr">
        <is>
          <t>繼續觀察</t>
        </is>
      </c>
      <c r="V8" s="31" t="inlineStr">
        <is>
          <t>🟡 CPL偏高且無轉換，密切監控</t>
        </is>
      </c>
    </row>
    <row r="9" ht="22" customHeight="1">
      <c r="A9" s="6" t="inlineStr">
        <is>
          <t>1209 安靜擴張事業藍圖</t>
        </is>
      </c>
      <c r="B9" s="6" t="inlineStr">
        <is>
          <t>120237101996710783</t>
        </is>
      </c>
      <c r="C9" s="6" t="inlineStr">
        <is>
          <t>L06-25-44-類似受眾_學員 1% 0409</t>
        </is>
      </c>
      <c r="D9" s="6" t="inlineStr"/>
      <c r="E9" s="21" t="n">
        <v>0</v>
      </c>
      <c r="F9" s="22" t="n"/>
      <c r="G9" s="21" t="inlineStr">
        <is>
          <t>—</t>
        </is>
      </c>
      <c r="H9" s="22" t="n"/>
      <c r="I9" s="22" t="n">
        <v>0.42</v>
      </c>
      <c r="J9" s="21" t="n">
        <v>23</v>
      </c>
      <c r="K9" s="21" t="n">
        <v>24</v>
      </c>
      <c r="L9" s="21" t="n">
        <v>0</v>
      </c>
      <c r="M9" s="21" t="n">
        <v>0</v>
      </c>
      <c r="N9" s="21" t="n">
        <v>0</v>
      </c>
      <c r="O9" s="22" t="n"/>
      <c r="P9" s="22" t="n"/>
      <c r="Q9" s="21" t="n">
        <v>0</v>
      </c>
      <c r="R9" s="6" t="inlineStr">
        <is>
          <t>—</t>
        </is>
      </c>
      <c r="S9" s="30" t="inlineStr">
        <is>
          <t>🚫 垃圾廣告</t>
        </is>
      </c>
      <c r="T9" s="29" t="inlineStr">
        <is>
          <t>⚪ 資料不足</t>
        </is>
      </c>
      <c r="U9" s="29" t="inlineStr">
        <is>
          <t>待觀察</t>
        </is>
      </c>
      <c r="V9" s="30" t="inlineStr">
        <is>
          <t>❌ 建議關閉（無諮詢轉換）</t>
        </is>
      </c>
    </row>
    <row r="10" ht="22" customHeight="1">
      <c r="A10" s="25" t="inlineStr">
        <is>
          <t>0307 用知識發光 - 複本</t>
        </is>
      </c>
      <c r="B10" s="25" t="inlineStr">
        <is>
          <t>120240827446360783</t>
        </is>
      </c>
      <c r="C10" s="25" t="inlineStr">
        <is>
          <t>L11-30-50 創業 0917</t>
        </is>
      </c>
      <c r="D10" s="25" t="inlineStr"/>
      <c r="E10" s="26" t="n">
        <v>1</v>
      </c>
      <c r="F10" s="27" t="n">
        <v>1.08</v>
      </c>
      <c r="G10" s="26" t="inlineStr">
        <is>
          <t>—</t>
        </is>
      </c>
      <c r="H10" s="27" t="n"/>
      <c r="I10" s="27" t="n">
        <v>1.08</v>
      </c>
      <c r="J10" s="26" t="n">
        <v>161</v>
      </c>
      <c r="K10" s="26" t="n">
        <v>162</v>
      </c>
      <c r="L10" s="26" t="n">
        <v>0</v>
      </c>
      <c r="M10" s="26" t="n">
        <v>0</v>
      </c>
      <c r="N10" s="26" t="n">
        <v>0</v>
      </c>
      <c r="O10" s="27" t="n"/>
      <c r="P10" s="27" t="n"/>
      <c r="Q10" s="26" t="n">
        <v>0</v>
      </c>
      <c r="R10" s="25" t="inlineStr">
        <is>
          <t>—</t>
        </is>
      </c>
      <c r="S10" s="23" t="inlineStr">
        <is>
          <t>⚠️ 第三等</t>
        </is>
      </c>
      <c r="T10" s="29" t="inlineStr">
        <is>
          <t>⚪ 資料不足</t>
        </is>
      </c>
      <c r="U10" s="29" t="inlineStr">
        <is>
          <t>待觀察</t>
        </is>
      </c>
      <c r="V10" s="23" t="inlineStr">
        <is>
          <t>⚠️ 謹慎保留，觀察是否帶出諮詢</t>
        </is>
      </c>
    </row>
    <row r="11" ht="22" customHeight="1">
      <c r="A11" s="6" t="inlineStr">
        <is>
          <t>0327 假裝外向</t>
        </is>
      </c>
      <c r="B11" s="6" t="inlineStr">
        <is>
          <t>120241838885270783</t>
        </is>
      </c>
      <c r="C11" s="6" t="inlineStr">
        <is>
          <t>L06-25-44-類似受眾_名單 2% 0413</t>
        </is>
      </c>
      <c r="D11" s="6" t="inlineStr"/>
      <c r="E11" s="21" t="n">
        <v>2</v>
      </c>
      <c r="F11" s="22" t="n">
        <v>7.475</v>
      </c>
      <c r="G11" s="21" t="n">
        <v>1</v>
      </c>
      <c r="H11" s="22" t="n">
        <v>14.95</v>
      </c>
      <c r="I11" s="22" t="n">
        <v>14.95</v>
      </c>
      <c r="J11" s="21" t="n">
        <v>1937</v>
      </c>
      <c r="K11" s="21" t="n">
        <v>2145</v>
      </c>
      <c r="L11" s="21" t="n">
        <v>0</v>
      </c>
      <c r="M11" s="21" t="n">
        <v>0</v>
      </c>
      <c r="N11" s="21" t="n">
        <v>0</v>
      </c>
      <c r="O11" s="22" t="n"/>
      <c r="P11" s="22" t="n"/>
      <c r="Q11" s="21" t="n">
        <v>0</v>
      </c>
      <c r="R11" s="6" t="inlineStr">
        <is>
          <t>—</t>
        </is>
      </c>
      <c r="S11" s="31" t="inlineStr">
        <is>
          <t>🟡 警示觀察</t>
        </is>
      </c>
      <c r="T11" s="29" t="inlineStr">
        <is>
          <t>⚪ 資料不足</t>
        </is>
      </c>
      <c r="U11" s="29" t="inlineStr">
        <is>
          <t>待觀察</t>
        </is>
      </c>
      <c r="V11" s="31" t="inlineStr">
        <is>
          <t>🟡 CPL偏高且無轉換，密切監控</t>
        </is>
      </c>
    </row>
    <row r="12" ht="22" customHeight="1">
      <c r="A12" s="25" t="inlineStr">
        <is>
          <t>0327 假裝外向</t>
        </is>
      </c>
      <c r="B12" s="25" t="inlineStr">
        <is>
          <t>120241841146670783</t>
        </is>
      </c>
      <c r="C12" s="25" t="inlineStr">
        <is>
          <t>L07-25-44-類似受眾_諮詢 1% 0413</t>
        </is>
      </c>
      <c r="D12" s="25" t="inlineStr"/>
      <c r="E12" s="26" t="n">
        <v>5</v>
      </c>
      <c r="F12" s="27" t="n">
        <v>7.08</v>
      </c>
      <c r="G12" s="26" t="inlineStr">
        <is>
          <t>—</t>
        </is>
      </c>
      <c r="H12" s="27" t="n"/>
      <c r="I12" s="27" t="n">
        <v>35.4</v>
      </c>
      <c r="J12" s="26" t="n">
        <v>4302</v>
      </c>
      <c r="K12" s="26" t="n">
        <v>4884</v>
      </c>
      <c r="L12" s="26" t="n">
        <v>0</v>
      </c>
      <c r="M12" s="26" t="n">
        <v>0</v>
      </c>
      <c r="N12" s="26" t="n">
        <v>0</v>
      </c>
      <c r="O12" s="27" t="n"/>
      <c r="P12" s="27" t="n"/>
      <c r="Q12" s="26" t="n">
        <v>0</v>
      </c>
      <c r="R12" s="25" t="inlineStr">
        <is>
          <t>—</t>
        </is>
      </c>
      <c r="S12" s="31" t="inlineStr">
        <is>
          <t>🟡 警示觀察</t>
        </is>
      </c>
      <c r="T12" s="29" t="inlineStr">
        <is>
          <t>⚪ 資料不足</t>
        </is>
      </c>
      <c r="U12" s="29" t="inlineStr">
        <is>
          <t>待觀察</t>
        </is>
      </c>
      <c r="V12" s="31" t="inlineStr">
        <is>
          <t>🟡 CPL偏高且無轉換，密切監控</t>
        </is>
      </c>
    </row>
    <row r="13" ht="22" customHeight="1">
      <c r="A13" s="6" t="inlineStr">
        <is>
          <t>0327 90% 新手踩坑</t>
        </is>
      </c>
      <c r="B13" s="6" t="inlineStr">
        <is>
          <t>120241842135890783</t>
        </is>
      </c>
      <c r="C13" s="6" t="inlineStr">
        <is>
          <t>L06-25-44-類似受眾_名單 2% 0413</t>
        </is>
      </c>
      <c r="D13" s="6" t="inlineStr"/>
      <c r="E13" s="21" t="n">
        <v>9</v>
      </c>
      <c r="F13" s="22" t="n">
        <v>10.8756</v>
      </c>
      <c r="G13" s="21" t="n">
        <v>6</v>
      </c>
      <c r="H13" s="22" t="n">
        <v>16.31333333333333</v>
      </c>
      <c r="I13" s="22" t="n">
        <v>97.88</v>
      </c>
      <c r="J13" s="21" t="n">
        <v>5070</v>
      </c>
      <c r="K13" s="21" t="n">
        <v>8097</v>
      </c>
      <c r="L13" s="21" t="n">
        <v>0</v>
      </c>
      <c r="M13" s="21" t="n">
        <v>0</v>
      </c>
      <c r="N13" s="21" t="n">
        <v>0</v>
      </c>
      <c r="O13" s="22" t="n"/>
      <c r="P13" s="22" t="n"/>
      <c r="Q13" s="21" t="n">
        <v>0</v>
      </c>
      <c r="R13" s="6" t="inlineStr">
        <is>
          <t>—</t>
        </is>
      </c>
      <c r="S13" s="30" t="inlineStr">
        <is>
          <t>🚫 垃圾廣告</t>
        </is>
      </c>
      <c r="T13" s="30" t="inlineStr">
        <is>
          <t>📉 4天差＋7天差</t>
        </is>
      </c>
      <c r="U13" s="30" t="inlineStr">
        <is>
          <t>立即關閉</t>
        </is>
      </c>
      <c r="V13" s="30" t="inlineStr">
        <is>
          <t>❌ 立即關閉</t>
        </is>
      </c>
    </row>
    <row r="14" ht="24" customHeight="1">
      <c r="A14" s="32" t="inlineStr">
        <is>
          <t>合計</t>
        </is>
      </c>
      <c r="B14" s="33" t="inlineStr"/>
      <c r="C14" s="33" t="inlineStr"/>
      <c r="D14" s="33" t="inlineStr"/>
      <c r="E14" s="34">
        <f>SUM(E3:E13)</f>
        <v/>
      </c>
      <c r="F14" s="33" t="inlineStr"/>
      <c r="G14" s="33" t="inlineStr"/>
      <c r="H14" s="33" t="inlineStr"/>
      <c r="I14" s="35">
        <f>SUM(I3:I13)</f>
        <v/>
      </c>
      <c r="J14" s="33" t="inlineStr"/>
      <c r="K14" s="33" t="inlineStr"/>
      <c r="L14" s="34">
        <f>SUM(L3:L13)</f>
        <v/>
      </c>
      <c r="M14" s="33" t="inlineStr"/>
      <c r="N14" s="33" t="inlineStr"/>
      <c r="O14" s="33" t="inlineStr"/>
      <c r="P14" s="33" t="inlineStr"/>
      <c r="Q14" s="33" t="inlineStr"/>
      <c r="R14" s="33" t="inlineStr"/>
      <c r="S14" s="33" t="inlineStr"/>
      <c r="T14" s="33" t="inlineStr"/>
      <c r="U14" s="33" t="inlineStr"/>
      <c r="V14" s="33" t="inlineStr"/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7" customWidth="1" min="4" max="4"/>
    <col width="20" customWidth="1" min="5" max="5"/>
    <col width="24" customWidth="1" min="6" max="6"/>
    <col width="11" customWidth="1" min="7" max="7"/>
    <col width="11" customWidth="1" min="8" max="8"/>
    <col width="22" customWidth="1" min="9" max="9"/>
  </cols>
  <sheetData>
    <row r="1" ht="34" customHeight="1">
      <c r="A1" s="19" t="inlineStr">
        <is>
          <t>BRAND 諮詢來源比對明細｜2026年4月W17上週</t>
        </is>
      </c>
    </row>
    <row r="2" ht="36" customHeight="1">
      <c r="A2" s="20" t="inlineStr">
        <is>
          <t>諮詢時間</t>
        </is>
      </c>
      <c r="B2" s="20" t="inlineStr">
        <is>
          <t>姓名</t>
        </is>
      </c>
      <c r="C2" s="20" t="inlineStr">
        <is>
          <t>Email</t>
        </is>
      </c>
      <c r="D2" s="20" t="inlineStr">
        <is>
          <t>在Systeme？</t>
        </is>
      </c>
      <c r="E2" s="20" t="inlineStr">
        <is>
          <t>廣告編號</t>
        </is>
      </c>
      <c r="F2" s="20" t="inlineStr">
        <is>
          <t>廣告名稱</t>
        </is>
      </c>
      <c r="G2" s="20" t="inlineStr">
        <is>
          <t>廣告花費(USD)</t>
        </is>
      </c>
      <c r="H2" s="20" t="inlineStr">
        <is>
          <t>成交狀態</t>
        </is>
      </c>
      <c r="I2" s="20" t="inlineStr">
        <is>
          <t>來源分類</t>
        </is>
      </c>
    </row>
    <row r="3" ht="22" customHeight="1">
      <c r="A3" s="36" t="inlineStr">
        <is>
          <t>2026-04-21</t>
        </is>
      </c>
      <c r="B3" s="36" t="inlineStr">
        <is>
          <t>Priscilla Hsu</t>
        </is>
      </c>
      <c r="C3" s="36" t="inlineStr">
        <is>
          <t>priscilahsu0520@gmail.com</t>
        </is>
      </c>
      <c r="D3" s="36" t="inlineStr">
        <is>
          <t>否</t>
        </is>
      </c>
      <c r="E3" s="36" t="inlineStr">
        <is>
          <t>（無）</t>
        </is>
      </c>
      <c r="F3" s="36" t="inlineStr">
        <is>
          <t>（無）</t>
        </is>
      </c>
      <c r="G3" s="37" t="n"/>
      <c r="H3" s="36" t="inlineStr">
        <is>
          <t>無追售</t>
        </is>
      </c>
      <c r="I3" s="16" t="inlineStr">
        <is>
          <t>❌ 不在Systeme名單</t>
        </is>
      </c>
    </row>
    <row r="4" ht="22" customHeight="1">
      <c r="A4" s="36" t="inlineStr">
        <is>
          <t>2026-04-23</t>
        </is>
      </c>
      <c r="B4" s="36" t="inlineStr">
        <is>
          <t>Sophie</t>
        </is>
      </c>
      <c r="C4" s="36" t="inlineStr">
        <is>
          <t>z5678914@gmail.com</t>
        </is>
      </c>
      <c r="D4" s="36" t="inlineStr">
        <is>
          <t>否</t>
        </is>
      </c>
      <c r="E4" s="36" t="inlineStr">
        <is>
          <t>（無）</t>
        </is>
      </c>
      <c r="F4" s="36" t="inlineStr">
        <is>
          <t>（無）</t>
        </is>
      </c>
      <c r="G4" s="37" t="n"/>
      <c r="H4" s="36" t="inlineStr">
        <is>
          <t>無追售</t>
        </is>
      </c>
      <c r="I4" s="16" t="inlineStr">
        <is>
          <t>❌ 不在Systeme名單</t>
        </is>
      </c>
    </row>
    <row r="5" ht="22" customHeight="1">
      <c r="A5" s="36" t="inlineStr">
        <is>
          <t>2026-04-21</t>
        </is>
      </c>
      <c r="B5" s="36" t="inlineStr">
        <is>
          <t>豆仔 ZIEN</t>
        </is>
      </c>
      <c r="C5" s="36" t="inlineStr">
        <is>
          <t>zien@loudnesslab.com</t>
        </is>
      </c>
      <c r="D5" s="36" t="inlineStr">
        <is>
          <t>否</t>
        </is>
      </c>
      <c r="E5" s="36" t="inlineStr">
        <is>
          <t>（無）</t>
        </is>
      </c>
      <c r="F5" s="36" t="inlineStr">
        <is>
          <t>（無）</t>
        </is>
      </c>
      <c r="G5" s="37" t="n"/>
      <c r="H5" s="36" t="inlineStr">
        <is>
          <t>無追售</t>
        </is>
      </c>
      <c r="I5" s="16" t="inlineStr">
        <is>
          <t>❌ 不在Systeme名單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1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 ht="34" customHeight="1">
      <c r="A1" s="19" t="inlineStr">
        <is>
          <t>Systeme 名單廣告編號統計｜2026年4月W17上週</t>
        </is>
      </c>
    </row>
    <row r="2" ht="36" customHeight="1">
      <c r="A2" s="20" t="inlineStr">
        <is>
          <t>廣告編號</t>
        </is>
      </c>
      <c r="B2" s="20" t="inlineStr">
        <is>
          <t>廣告名稱</t>
        </is>
      </c>
      <c r="C2" s="20" t="inlineStr">
        <is>
          <t>廣告花費(USD)</t>
        </is>
      </c>
      <c r="D2" s="20" t="inlineStr">
        <is>
          <t>Meta成果數</t>
        </is>
      </c>
      <c r="E2" s="20" t="inlineStr">
        <is>
          <t>Systeme名單數</t>
        </is>
      </c>
      <c r="F2" s="20" t="inlineStr">
        <is>
          <t>諮詢數</t>
        </is>
      </c>
      <c r="G2" s="20" t="inlineStr">
        <is>
          <t>名單→諮詢率</t>
        </is>
      </c>
    </row>
    <row r="3" ht="22" customHeight="1">
      <c r="A3" s="6" t="inlineStr">
        <is>
          <t>（空白）</t>
        </is>
      </c>
      <c r="B3" s="6" t="inlineStr">
        <is>
          <t>（廣告報表中無對應）</t>
        </is>
      </c>
      <c r="C3" s="38" t="n"/>
      <c r="D3" s="39" t="n"/>
      <c r="E3" s="39" t="n">
        <v>99</v>
      </c>
      <c r="F3" s="39" t="n">
        <v>0</v>
      </c>
      <c r="G3" s="40" t="n">
        <v>0</v>
      </c>
    </row>
    <row r="4" ht="22" customHeight="1">
      <c r="A4" s="25" t="inlineStr">
        <is>
          <t>120231851090270783</t>
        </is>
      </c>
      <c r="B4" s="25" t="inlineStr">
        <is>
          <t>0912 I 人變體Ｂ_反預設</t>
        </is>
      </c>
      <c r="C4" s="41" t="n">
        <v>174.75</v>
      </c>
      <c r="D4" s="42" t="n">
        <v>52</v>
      </c>
      <c r="E4" s="42" t="n">
        <v>26</v>
      </c>
      <c r="F4" s="42" t="n">
        <v>0</v>
      </c>
      <c r="G4" s="43" t="n">
        <v>0</v>
      </c>
    </row>
    <row r="5" ht="22" customHeight="1">
      <c r="A5" s="6" t="inlineStr">
        <is>
          <t>120226368838380783</t>
        </is>
      </c>
      <c r="B5" s="6" t="inlineStr">
        <is>
          <t>0623 Ｉ人變體Ｃ_不跟風</t>
        </is>
      </c>
      <c r="C5" s="38" t="n">
        <v>134.56</v>
      </c>
      <c r="D5" s="39" t="n">
        <v>35</v>
      </c>
      <c r="E5" s="39" t="n">
        <v>12</v>
      </c>
      <c r="F5" s="39" t="n">
        <v>0</v>
      </c>
      <c r="G5" s="40" t="n">
        <v>0</v>
      </c>
    </row>
    <row r="6" ht="22" customHeight="1">
      <c r="A6" s="25" t="inlineStr">
        <is>
          <t>120220257203550783</t>
        </is>
      </c>
      <c r="B6" s="25" t="inlineStr">
        <is>
          <t>0426 I 人的長遠經營法</t>
        </is>
      </c>
      <c r="C6" s="41" t="n">
        <v>96.02</v>
      </c>
      <c r="D6" s="42" t="n">
        <v>23</v>
      </c>
      <c r="E6" s="42" t="n">
        <v>9</v>
      </c>
      <c r="F6" s="42" t="n">
        <v>0</v>
      </c>
      <c r="G6" s="43" t="n">
        <v>0</v>
      </c>
    </row>
    <row r="7" ht="22" customHeight="1">
      <c r="A7" s="6" t="inlineStr">
        <is>
          <t>120237101955040783</t>
        </is>
      </c>
      <c r="B7" s="6" t="inlineStr">
        <is>
          <t>1209 安靜擴張事業藍圖</t>
        </is>
      </c>
      <c r="C7" s="38" t="n">
        <v>90.05</v>
      </c>
      <c r="D7" s="39" t="n">
        <v>12</v>
      </c>
      <c r="E7" s="39" t="n">
        <v>6</v>
      </c>
      <c r="F7" s="39" t="n">
        <v>0</v>
      </c>
      <c r="G7" s="40" t="n">
        <v>0</v>
      </c>
    </row>
    <row r="8" ht="22" customHeight="1">
      <c r="A8" s="25" t="inlineStr">
        <is>
          <t>120241842135890783</t>
        </is>
      </c>
      <c r="B8" s="25" t="inlineStr">
        <is>
          <t>0327 90% 新手踩坑</t>
        </is>
      </c>
      <c r="C8" s="41" t="n">
        <v>97.88</v>
      </c>
      <c r="D8" s="42" t="n">
        <v>9</v>
      </c>
      <c r="E8" s="42" t="n">
        <v>6</v>
      </c>
      <c r="F8" s="42" t="n">
        <v>0</v>
      </c>
      <c r="G8" s="43" t="n">
        <v>0</v>
      </c>
    </row>
    <row r="9" ht="22" customHeight="1">
      <c r="A9" s="6" t="inlineStr">
        <is>
          <t>120232166679900783</t>
        </is>
      </c>
      <c r="B9" s="6" t="inlineStr">
        <is>
          <t>0917 用知識發光</t>
        </is>
      </c>
      <c r="C9" s="38" t="n">
        <v>36.63</v>
      </c>
      <c r="D9" s="39" t="n">
        <v>11</v>
      </c>
      <c r="E9" s="39" t="n">
        <v>4</v>
      </c>
      <c r="F9" s="39" t="n">
        <v>0</v>
      </c>
      <c r="G9" s="40" t="n">
        <v>0</v>
      </c>
    </row>
    <row r="10" ht="22" customHeight="1">
      <c r="A10" s="25" t="inlineStr">
        <is>
          <t>link_in_bio</t>
        </is>
      </c>
      <c r="B10" s="25" t="inlineStr">
        <is>
          <t>（Link in Bio）</t>
        </is>
      </c>
      <c r="C10" s="41" t="n"/>
      <c r="D10" s="42" t="n"/>
      <c r="E10" s="42" t="n">
        <v>3</v>
      </c>
      <c r="F10" s="42" t="n">
        <v>0</v>
      </c>
      <c r="G10" s="43" t="n">
        <v>0</v>
      </c>
    </row>
    <row r="11" ht="22" customHeight="1">
      <c r="A11" s="6" t="inlineStr">
        <is>
          <t>120241838885270783</t>
        </is>
      </c>
      <c r="B11" s="6" t="inlineStr">
        <is>
          <t>0327 假裝外向</t>
        </is>
      </c>
      <c r="C11" s="38" t="n">
        <v>14.95</v>
      </c>
      <c r="D11" s="39" t="n">
        <v>2</v>
      </c>
      <c r="E11" s="39" t="n">
        <v>1</v>
      </c>
      <c r="F11" s="39" t="n">
        <v>0</v>
      </c>
      <c r="G11" s="40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1" customWidth="1" min="3" max="3"/>
    <col width="10" customWidth="1" min="4" max="4"/>
    <col width="10" customWidth="1" min="5" max="5"/>
    <col width="9" customWidth="1" min="6" max="6"/>
    <col width="8" customWidth="1" min="7" max="7"/>
    <col width="11" customWidth="1" min="8" max="8"/>
    <col width="11" customWidth="1" min="9" max="9"/>
    <col width="9" customWidth="1" min="10" max="10"/>
    <col width="7" customWidth="1" min="11" max="11"/>
    <col width="7" customWidth="1" min="12" max="12"/>
    <col width="18" customWidth="1" min="13" max="13"/>
    <col width="12" customWidth="1" min="14" max="14"/>
    <col width="16" customWidth="1" min="15" max="15"/>
    <col width="26" customWidth="1" min="16" max="16"/>
  </cols>
  <sheetData>
    <row r="1" ht="34" customHeight="1">
      <c r="A1" s="19" t="inlineStr">
        <is>
          <t>廣告素材決策分析｜CPL × 諮詢率四象限 + 4天/7天趨勢矩陣｜2026年4月W17上週</t>
        </is>
      </c>
    </row>
    <row r="2" ht="26" customHeight="1">
      <c r="A2" s="3" t="inlineStr">
        <is>
          <t>▌ PART 1｜CPL × 諮詢率四象限判斷</t>
        </is>
      </c>
    </row>
    <row r="3" ht="36" customHeight="1">
      <c r="A3" s="20" t="inlineStr">
        <is>
          <t>廣告名稱</t>
        </is>
      </c>
      <c r="B3" s="20" t="inlineStr">
        <is>
          <t>廣告編號</t>
        </is>
      </c>
      <c r="C3" s="20" t="inlineStr">
        <is>
          <t>本期花費
(USD)</t>
        </is>
      </c>
      <c r="D3" s="20" t="inlineStr">
        <is>
          <t>本期
Meta成果</t>
        </is>
      </c>
      <c r="E3" s="20" t="inlineStr">
        <is>
          <t>本期
CPL</t>
        </is>
      </c>
      <c r="F3" s="20" t="inlineStr">
        <is>
          <t>Systeme
名單數</t>
        </is>
      </c>
      <c r="G3" s="20" t="inlineStr">
        <is>
          <t>諮詢數</t>
        </is>
      </c>
      <c r="H3" s="20" t="inlineStr">
        <is>
          <t>CPQL
(USD)</t>
        </is>
      </c>
      <c r="I3" s="20" t="inlineStr">
        <is>
          <t>CP合格QL
(USD)</t>
        </is>
      </c>
      <c r="J3" s="20" t="inlineStr">
        <is>
          <t>名單→諮詢率</t>
        </is>
      </c>
      <c r="K3" s="20" t="inlineStr">
        <is>
          <t>CPL
判定</t>
        </is>
      </c>
      <c r="L3" s="20" t="inlineStr">
        <is>
          <t>ROI
判定</t>
        </is>
      </c>
      <c r="M3" s="20" t="inlineStr">
        <is>
          <t>四象限
分類</t>
        </is>
      </c>
      <c r="N3" s="20" t="inlineStr">
        <is>
          <t>建議動作</t>
        </is>
      </c>
    </row>
    <row r="4" ht="22" customHeight="1">
      <c r="A4" s="25" t="inlineStr">
        <is>
          <t>0426 I 人的長遠經營法</t>
        </is>
      </c>
      <c r="B4" s="25" t="inlineStr">
        <is>
          <t>120220257203550783</t>
        </is>
      </c>
      <c r="C4" s="27" t="n">
        <v>96.02</v>
      </c>
      <c r="D4" s="26" t="n">
        <v>23</v>
      </c>
      <c r="E4" s="27" t="n">
        <v>4.1748</v>
      </c>
      <c r="F4" s="26" t="n">
        <v>9</v>
      </c>
      <c r="G4" s="26" t="n">
        <v>0</v>
      </c>
      <c r="H4" s="27" t="n"/>
      <c r="I4" s="27" t="n"/>
      <c r="J4" s="44" t="n">
        <v>0</v>
      </c>
      <c r="K4" s="45" t="inlineStr">
        <is>
          <t>低 ✓</t>
        </is>
      </c>
      <c r="L4" s="46" t="inlineStr">
        <is>
          <t>低 ✗</t>
        </is>
      </c>
      <c r="M4" s="23" t="inlineStr">
        <is>
          <t>⚠️ 第三等</t>
        </is>
      </c>
      <c r="N4" s="47" t="inlineStr">
        <is>
          <t>謹慎保留</t>
        </is>
      </c>
    </row>
    <row r="5" ht="22" customHeight="1">
      <c r="A5" s="6" t="inlineStr">
        <is>
          <t>0623 Ｉ人變體Ｃ_不跟風</t>
        </is>
      </c>
      <c r="B5" s="6" t="inlineStr">
        <is>
          <t>120226368838380783</t>
        </is>
      </c>
      <c r="C5" s="22" t="n">
        <v>134.56</v>
      </c>
      <c r="D5" s="21" t="n">
        <v>35</v>
      </c>
      <c r="E5" s="22" t="n">
        <v>3.8446</v>
      </c>
      <c r="F5" s="21" t="n">
        <v>12</v>
      </c>
      <c r="G5" s="21" t="n">
        <v>0</v>
      </c>
      <c r="H5" s="22" t="n"/>
      <c r="I5" s="22" t="n"/>
      <c r="J5" s="48" t="n">
        <v>0</v>
      </c>
      <c r="K5" s="45" t="inlineStr">
        <is>
          <t>低 ✓</t>
        </is>
      </c>
      <c r="L5" s="46" t="inlineStr">
        <is>
          <t>低 ✗</t>
        </is>
      </c>
      <c r="M5" s="23" t="inlineStr">
        <is>
          <t>⚠️ 第三等</t>
        </is>
      </c>
      <c r="N5" s="47" t="inlineStr">
        <is>
          <t>謹慎保留</t>
        </is>
      </c>
    </row>
    <row r="6" ht="22" customHeight="1">
      <c r="A6" s="25" t="inlineStr">
        <is>
          <t>0912 I 人變體Ｂ_反預設</t>
        </is>
      </c>
      <c r="B6" s="25" t="inlineStr">
        <is>
          <t>120231851090270783</t>
        </is>
      </c>
      <c r="C6" s="27" t="n">
        <v>174.75</v>
      </c>
      <c r="D6" s="26" t="n">
        <v>52</v>
      </c>
      <c r="E6" s="27" t="n">
        <v>3.3606</v>
      </c>
      <c r="F6" s="26" t="n">
        <v>26</v>
      </c>
      <c r="G6" s="26" t="n">
        <v>0</v>
      </c>
      <c r="H6" s="27" t="n"/>
      <c r="I6" s="27" t="n"/>
      <c r="J6" s="44" t="n">
        <v>0</v>
      </c>
      <c r="K6" s="45" t="inlineStr">
        <is>
          <t>低 ✓</t>
        </is>
      </c>
      <c r="L6" s="46" t="inlineStr">
        <is>
          <t>低 ✗</t>
        </is>
      </c>
      <c r="M6" s="23" t="inlineStr">
        <is>
          <t>⚠️ 第三等</t>
        </is>
      </c>
      <c r="N6" s="47" t="inlineStr">
        <is>
          <t>謹慎保留</t>
        </is>
      </c>
    </row>
    <row r="7" ht="22" customHeight="1">
      <c r="A7" s="6" t="inlineStr">
        <is>
          <t>0917 用知識發光</t>
        </is>
      </c>
      <c r="B7" s="6" t="inlineStr">
        <is>
          <t>120232166679900783</t>
        </is>
      </c>
      <c r="C7" s="22" t="n">
        <v>36.63</v>
      </c>
      <c r="D7" s="21" t="n">
        <v>11</v>
      </c>
      <c r="E7" s="22" t="n">
        <v>3.33</v>
      </c>
      <c r="F7" s="21" t="n">
        <v>4</v>
      </c>
      <c r="G7" s="21" t="n">
        <v>0</v>
      </c>
      <c r="H7" s="22" t="n"/>
      <c r="I7" s="22" t="n"/>
      <c r="J7" s="48" t="n">
        <v>0</v>
      </c>
      <c r="K7" s="45" t="inlineStr">
        <is>
          <t>低 ✓</t>
        </is>
      </c>
      <c r="L7" s="46" t="inlineStr">
        <is>
          <t>低 ✗</t>
        </is>
      </c>
      <c r="M7" s="23" t="inlineStr">
        <is>
          <t>⚠️ 第三等</t>
        </is>
      </c>
      <c r="N7" s="47" t="inlineStr">
        <is>
          <t>謹慎保留</t>
        </is>
      </c>
    </row>
    <row r="8" ht="22" customHeight="1">
      <c r="A8" s="25" t="inlineStr">
        <is>
          <t>1031 不日更坐收長遠效益</t>
        </is>
      </c>
      <c r="B8" s="25" t="inlineStr">
        <is>
          <t>120234830077320783</t>
        </is>
      </c>
      <c r="C8" s="27" t="n">
        <v>3.73</v>
      </c>
      <c r="D8" s="26" t="n">
        <v>0</v>
      </c>
      <c r="E8" s="27" t="n"/>
      <c r="F8" s="26" t="inlineStr">
        <is>
          <t>—</t>
        </is>
      </c>
      <c r="G8" s="26" t="n">
        <v>0</v>
      </c>
      <c r="H8" s="27" t="n"/>
      <c r="I8" s="27" t="n"/>
      <c r="J8" s="44" t="n"/>
      <c r="K8" s="49" t="inlineStr">
        <is>
          <t>—</t>
        </is>
      </c>
      <c r="L8" s="46" t="inlineStr">
        <is>
          <t>低 ✗</t>
        </is>
      </c>
      <c r="M8" s="30" t="inlineStr">
        <is>
          <t>🚫 垃圾廣告</t>
        </is>
      </c>
      <c r="N8" s="46" t="inlineStr">
        <is>
          <t>建議關閉</t>
        </is>
      </c>
    </row>
    <row r="9" ht="22" customHeight="1">
      <c r="A9" s="6" t="inlineStr">
        <is>
          <t>1209 安靜擴張事業藍圖</t>
        </is>
      </c>
      <c r="B9" s="6" t="inlineStr">
        <is>
          <t>120237101955040783</t>
        </is>
      </c>
      <c r="C9" s="22" t="n">
        <v>90.05</v>
      </c>
      <c r="D9" s="21" t="n">
        <v>12</v>
      </c>
      <c r="E9" s="22" t="n">
        <v>7.5042</v>
      </c>
      <c r="F9" s="21" t="n">
        <v>6</v>
      </c>
      <c r="G9" s="21" t="n">
        <v>0</v>
      </c>
      <c r="H9" s="22" t="n"/>
      <c r="I9" s="22" t="n"/>
      <c r="J9" s="48" t="n">
        <v>0</v>
      </c>
      <c r="K9" s="47" t="inlineStr">
        <is>
          <t>中 △</t>
        </is>
      </c>
      <c r="L9" s="46" t="inlineStr">
        <is>
          <t>低 ✗</t>
        </is>
      </c>
      <c r="M9" s="31" t="inlineStr">
        <is>
          <t>🟡 警示觀察</t>
        </is>
      </c>
      <c r="N9" s="50" t="inlineStr">
        <is>
          <t>密切監控</t>
        </is>
      </c>
    </row>
    <row r="10" ht="22" customHeight="1">
      <c r="A10" s="25" t="inlineStr">
        <is>
          <t>1209 安靜擴張事業藍圖</t>
        </is>
      </c>
      <c r="B10" s="25" t="inlineStr">
        <is>
          <t>120237101996710783</t>
        </is>
      </c>
      <c r="C10" s="27" t="n">
        <v>0.42</v>
      </c>
      <c r="D10" s="26" t="n">
        <v>0</v>
      </c>
      <c r="E10" s="27" t="n"/>
      <c r="F10" s="26" t="inlineStr">
        <is>
          <t>—</t>
        </is>
      </c>
      <c r="G10" s="26" t="n">
        <v>0</v>
      </c>
      <c r="H10" s="27" t="n"/>
      <c r="I10" s="27" t="n"/>
      <c r="J10" s="44" t="n"/>
      <c r="K10" s="49" t="inlineStr">
        <is>
          <t>—</t>
        </is>
      </c>
      <c r="L10" s="46" t="inlineStr">
        <is>
          <t>低 ✗</t>
        </is>
      </c>
      <c r="M10" s="30" t="inlineStr">
        <is>
          <t>🚫 垃圾廣告</t>
        </is>
      </c>
      <c r="N10" s="46" t="inlineStr">
        <is>
          <t>建議關閉</t>
        </is>
      </c>
    </row>
    <row r="11" ht="22" customHeight="1">
      <c r="A11" s="6" t="inlineStr">
        <is>
          <t>0307 用知識發光 - 複本</t>
        </is>
      </c>
      <c r="B11" s="6" t="inlineStr">
        <is>
          <t>120240827446360783</t>
        </is>
      </c>
      <c r="C11" s="22" t="n">
        <v>1.08</v>
      </c>
      <c r="D11" s="21" t="n">
        <v>1</v>
      </c>
      <c r="E11" s="22" t="n">
        <v>1.08</v>
      </c>
      <c r="F11" s="21" t="inlineStr">
        <is>
          <t>—</t>
        </is>
      </c>
      <c r="G11" s="21" t="n">
        <v>0</v>
      </c>
      <c r="H11" s="22" t="n"/>
      <c r="I11" s="22" t="n"/>
      <c r="J11" s="48" t="n"/>
      <c r="K11" s="45" t="inlineStr">
        <is>
          <t>低 ✓</t>
        </is>
      </c>
      <c r="L11" s="46" t="inlineStr">
        <is>
          <t>低 ✗</t>
        </is>
      </c>
      <c r="M11" s="23" t="inlineStr">
        <is>
          <t>⚠️ 第三等</t>
        </is>
      </c>
      <c r="N11" s="47" t="inlineStr">
        <is>
          <t>謹慎保留</t>
        </is>
      </c>
    </row>
    <row r="12" ht="22" customHeight="1">
      <c r="A12" s="25" t="inlineStr">
        <is>
          <t>0327 假裝外向</t>
        </is>
      </c>
      <c r="B12" s="25" t="inlineStr">
        <is>
          <t>120241838885270783</t>
        </is>
      </c>
      <c r="C12" s="27" t="n">
        <v>14.95</v>
      </c>
      <c r="D12" s="26" t="n">
        <v>2</v>
      </c>
      <c r="E12" s="27" t="n">
        <v>7.475</v>
      </c>
      <c r="F12" s="26" t="n">
        <v>1</v>
      </c>
      <c r="G12" s="26" t="n">
        <v>0</v>
      </c>
      <c r="H12" s="27" t="n"/>
      <c r="I12" s="27" t="n"/>
      <c r="J12" s="44" t="n">
        <v>0</v>
      </c>
      <c r="K12" s="47" t="inlineStr">
        <is>
          <t>中 △</t>
        </is>
      </c>
      <c r="L12" s="46" t="inlineStr">
        <is>
          <t>低 ✗</t>
        </is>
      </c>
      <c r="M12" s="31" t="inlineStr">
        <is>
          <t>🟡 警示觀察</t>
        </is>
      </c>
      <c r="N12" s="50" t="inlineStr">
        <is>
          <t>密切監控</t>
        </is>
      </c>
    </row>
    <row r="13" ht="22" customHeight="1">
      <c r="A13" s="6" t="inlineStr">
        <is>
          <t>0327 假裝外向</t>
        </is>
      </c>
      <c r="B13" s="6" t="inlineStr">
        <is>
          <t>120241841146670783</t>
        </is>
      </c>
      <c r="C13" s="22" t="n">
        <v>35.4</v>
      </c>
      <c r="D13" s="21" t="n">
        <v>5</v>
      </c>
      <c r="E13" s="22" t="n">
        <v>7.08</v>
      </c>
      <c r="F13" s="21" t="inlineStr">
        <is>
          <t>—</t>
        </is>
      </c>
      <c r="G13" s="21" t="n">
        <v>0</v>
      </c>
      <c r="H13" s="22" t="n"/>
      <c r="I13" s="22" t="n"/>
      <c r="J13" s="48" t="n"/>
      <c r="K13" s="47" t="inlineStr">
        <is>
          <t>中 △</t>
        </is>
      </c>
      <c r="L13" s="46" t="inlineStr">
        <is>
          <t>低 ✗</t>
        </is>
      </c>
      <c r="M13" s="31" t="inlineStr">
        <is>
          <t>🟡 警示觀察</t>
        </is>
      </c>
      <c r="N13" s="50" t="inlineStr">
        <is>
          <t>密切監控</t>
        </is>
      </c>
    </row>
    <row r="14" ht="22" customHeight="1">
      <c r="A14" s="25" t="inlineStr">
        <is>
          <t>0327 90% 新手踩坑</t>
        </is>
      </c>
      <c r="B14" s="25" t="inlineStr">
        <is>
          <t>120241842135890783</t>
        </is>
      </c>
      <c r="C14" s="27" t="n">
        <v>97.88</v>
      </c>
      <c r="D14" s="26" t="n">
        <v>9</v>
      </c>
      <c r="E14" s="27" t="n">
        <v>10.8756</v>
      </c>
      <c r="F14" s="26" t="n">
        <v>6</v>
      </c>
      <c r="G14" s="26" t="n">
        <v>0</v>
      </c>
      <c r="H14" s="27" t="n"/>
      <c r="I14" s="27" t="n"/>
      <c r="J14" s="44" t="n">
        <v>0</v>
      </c>
      <c r="K14" s="46" t="inlineStr">
        <is>
          <t>高 ✗</t>
        </is>
      </c>
      <c r="L14" s="46" t="inlineStr">
        <is>
          <t>低 ✗</t>
        </is>
      </c>
      <c r="M14" s="30" t="inlineStr">
        <is>
          <t>🚫 垃圾廣告</t>
        </is>
      </c>
      <c r="N14" s="46" t="inlineStr">
        <is>
          <t>立即關閉</t>
        </is>
      </c>
    </row>
    <row r="16" ht="26" customHeight="1">
      <c r="A16" s="3" t="inlineStr">
        <is>
          <t>▌ PART 2｜4天 / 7天 CPL 趨勢矩陣</t>
        </is>
      </c>
    </row>
    <row r="17" ht="36" customHeight="1">
      <c r="A17" s="20" t="inlineStr">
        <is>
          <t>廣告名稱</t>
        </is>
      </c>
      <c r="B17" s="20" t="inlineStr">
        <is>
          <t>廣告編號</t>
        </is>
      </c>
      <c r="C17" s="20" t="inlineStr">
        <is>
          <t>本期CPL</t>
        </is>
      </c>
      <c r="D17" s="20" t="inlineStr">
        <is>
          <t>7天CPL</t>
        </is>
      </c>
      <c r="E17" s="20" t="inlineStr">
        <is>
          <t>4天CPL</t>
        </is>
      </c>
      <c r="F17" s="20" t="inlineStr">
        <is>
          <t>7天成果數</t>
        </is>
      </c>
      <c r="G17" s="20" t="inlineStr">
        <is>
          <t>4天成果數</t>
        </is>
      </c>
      <c r="H17" s="20" t="inlineStr">
        <is>
          <t>7天花費
(USD)</t>
        </is>
      </c>
      <c r="I17" s="20" t="inlineStr">
        <is>
          <t>4天花費
(USD)</t>
        </is>
      </c>
      <c r="J17" s="20" t="inlineStr">
        <is>
          <t>7天表現</t>
        </is>
      </c>
      <c r="K17" s="20" t="inlineStr">
        <is>
          <t>4天表現</t>
        </is>
      </c>
      <c r="L17" s="20" t="inlineStr">
        <is>
          <t>趨勢判斷</t>
        </is>
      </c>
      <c r="M17" s="20" t="inlineStr">
        <is>
          <t>趨勢建議動作</t>
        </is>
      </c>
      <c r="N17" s="20" t="inlineStr">
        <is>
          <t>四象限</t>
        </is>
      </c>
      <c r="O17" s="20" t="inlineStr">
        <is>
          <t>最終綜合建議</t>
        </is>
      </c>
    </row>
    <row r="18" ht="22" customHeight="1">
      <c r="A18" s="25" t="inlineStr">
        <is>
          <t>0426 I 人的長遠經營法</t>
        </is>
      </c>
      <c r="B18" s="25" t="inlineStr">
        <is>
          <t>120220257203550783</t>
        </is>
      </c>
      <c r="C18" s="41" t="n">
        <v>4.1748</v>
      </c>
      <c r="D18" s="41" t="n">
        <v>4.7991</v>
      </c>
      <c r="E18" s="41" t="n">
        <v>7.1957</v>
      </c>
      <c r="F18" s="42" t="n">
        <v>22</v>
      </c>
      <c r="G18" s="42" t="n">
        <v>7</v>
      </c>
      <c r="H18" s="41" t="n">
        <v>105.58</v>
      </c>
      <c r="I18" s="41" t="n">
        <v>50.37</v>
      </c>
      <c r="J18" s="25" t="inlineStr">
        <is>
          <t>好</t>
        </is>
      </c>
      <c r="K18" s="25" t="inlineStr">
        <is>
          <t>差</t>
        </is>
      </c>
      <c r="L18" s="24" t="inlineStr">
        <is>
          <t>🔄 4天差＋7天好</t>
        </is>
      </c>
      <c r="M18" s="24" t="inlineStr">
        <is>
          <t>觀察到下階段</t>
        </is>
      </c>
      <c r="N18" s="23" t="inlineStr">
        <is>
          <t>⚠️ 第三等</t>
        </is>
      </c>
      <c r="O18" s="23" t="inlineStr">
        <is>
          <t>⚠️ 謹慎保留，觀察是否帶出諮詢</t>
        </is>
      </c>
    </row>
    <row r="19" ht="22" customHeight="1">
      <c r="A19" s="6" t="inlineStr">
        <is>
          <t>0623 Ｉ人變體Ｃ_不跟風</t>
        </is>
      </c>
      <c r="B19" s="6" t="inlineStr">
        <is>
          <t>120226368838380783</t>
        </is>
      </c>
      <c r="C19" s="38" t="n">
        <v>3.8446</v>
      </c>
      <c r="D19" s="38" t="n">
        <v>4.0236</v>
      </c>
      <c r="E19" s="38" t="n">
        <v>3.4968</v>
      </c>
      <c r="F19" s="39" t="n">
        <v>33</v>
      </c>
      <c r="G19" s="39" t="n">
        <v>22</v>
      </c>
      <c r="H19" s="38" t="n">
        <v>132.78</v>
      </c>
      <c r="I19" s="38" t="n">
        <v>76.93000000000001</v>
      </c>
      <c r="J19" s="6" t="inlineStr">
        <is>
          <t>好</t>
        </is>
      </c>
      <c r="K19" s="6" t="inlineStr">
        <is>
          <t>好</t>
        </is>
      </c>
      <c r="L19" s="28" t="inlineStr">
        <is>
          <t>📈 4天好＋7天好</t>
        </is>
      </c>
      <c r="M19" s="28" t="inlineStr">
        <is>
          <t>加預算</t>
        </is>
      </c>
      <c r="N19" s="23" t="inlineStr">
        <is>
          <t>⚠️ 第三等</t>
        </is>
      </c>
      <c r="O19" s="23" t="inlineStr">
        <is>
          <t>⚠️ 謹慎保留，觀察是否帶出諮詢</t>
        </is>
      </c>
    </row>
    <row r="20" ht="22" customHeight="1">
      <c r="A20" s="25" t="inlineStr">
        <is>
          <t>0912 I 人變體Ｂ_反預設</t>
        </is>
      </c>
      <c r="B20" s="25" t="inlineStr">
        <is>
          <t>120231851090270783</t>
        </is>
      </c>
      <c r="C20" s="41" t="n">
        <v>3.3606</v>
      </c>
      <c r="D20" s="41" t="n">
        <v>3.4615</v>
      </c>
      <c r="E20" s="41" t="n">
        <v>3.5582</v>
      </c>
      <c r="F20" s="42" t="n">
        <v>55</v>
      </c>
      <c r="G20" s="42" t="n">
        <v>34</v>
      </c>
      <c r="H20" s="41" t="n">
        <v>190.38</v>
      </c>
      <c r="I20" s="41" t="n">
        <v>120.98</v>
      </c>
      <c r="J20" s="25" t="inlineStr">
        <is>
          <t>好</t>
        </is>
      </c>
      <c r="K20" s="25" t="inlineStr">
        <is>
          <t>好</t>
        </is>
      </c>
      <c r="L20" s="28" t="inlineStr">
        <is>
          <t>📈 4天好＋7天好</t>
        </is>
      </c>
      <c r="M20" s="28" t="inlineStr">
        <is>
          <t>加預算</t>
        </is>
      </c>
      <c r="N20" s="23" t="inlineStr">
        <is>
          <t>⚠️ 第三等</t>
        </is>
      </c>
      <c r="O20" s="23" t="inlineStr">
        <is>
          <t>⚠️ 謹慎保留，觀察是否帶出諮詢</t>
        </is>
      </c>
    </row>
    <row r="21" ht="22" customHeight="1">
      <c r="A21" s="6" t="inlineStr">
        <is>
          <t>0917 用知識發光</t>
        </is>
      </c>
      <c r="B21" s="6" t="inlineStr">
        <is>
          <t>120232166679900783</t>
        </is>
      </c>
      <c r="C21" s="38" t="n">
        <v>3.33</v>
      </c>
      <c r="D21" s="38" t="n">
        <v>6.17</v>
      </c>
      <c r="E21" s="38" t="n"/>
      <c r="F21" s="39" t="n">
        <v>3</v>
      </c>
      <c r="G21" s="39" t="n">
        <v>0</v>
      </c>
      <c r="H21" s="38" t="n">
        <v>18.51</v>
      </c>
      <c r="I21" s="38" t="n">
        <v>0</v>
      </c>
      <c r="J21" s="6" t="inlineStr">
        <is>
          <t>差</t>
        </is>
      </c>
      <c r="K21" s="6" t="inlineStr">
        <is>
          <t>—</t>
        </is>
      </c>
      <c r="L21" s="29" t="inlineStr">
        <is>
          <t>⚪ 資料不足</t>
        </is>
      </c>
      <c r="M21" s="29" t="inlineStr">
        <is>
          <t>待觀察</t>
        </is>
      </c>
      <c r="N21" s="23" t="inlineStr">
        <is>
          <t>⚠️ 第三等</t>
        </is>
      </c>
      <c r="O21" s="23" t="inlineStr">
        <is>
          <t>⚠️ 謹慎保留，觀察是否帶出諮詢</t>
        </is>
      </c>
    </row>
    <row r="22" ht="22" customHeight="1">
      <c r="A22" s="25" t="inlineStr">
        <is>
          <t>1031 不日更坐收長遠效益</t>
        </is>
      </c>
      <c r="B22" s="25" t="inlineStr">
        <is>
          <t>120234830077320783</t>
        </is>
      </c>
      <c r="C22" s="41" t="n"/>
      <c r="D22" s="41" t="n"/>
      <c r="E22" s="41" t="n"/>
      <c r="F22" s="42" t="n">
        <v>0</v>
      </c>
      <c r="G22" s="42" t="n">
        <v>0</v>
      </c>
      <c r="H22" s="41" t="n">
        <v>3.73</v>
      </c>
      <c r="I22" s="41" t="n">
        <v>1.93</v>
      </c>
      <c r="J22" s="25" t="inlineStr">
        <is>
          <t>—</t>
        </is>
      </c>
      <c r="K22" s="25" t="inlineStr">
        <is>
          <t>—</t>
        </is>
      </c>
      <c r="L22" s="29" t="inlineStr">
        <is>
          <t>⚪ 資料不足</t>
        </is>
      </c>
      <c r="M22" s="29" t="inlineStr">
        <is>
          <t>待觀察</t>
        </is>
      </c>
      <c r="N22" s="30" t="inlineStr">
        <is>
          <t>🚫 垃圾廣告</t>
        </is>
      </c>
      <c r="O22" s="30" t="inlineStr">
        <is>
          <t>❌ 建議關閉（無諮詢轉換）</t>
        </is>
      </c>
    </row>
    <row r="23" ht="22" customHeight="1">
      <c r="A23" s="6" t="inlineStr">
        <is>
          <t>1209 安靜擴張事業藍圖</t>
        </is>
      </c>
      <c r="B23" s="6" t="inlineStr">
        <is>
          <t>120237101955040783</t>
        </is>
      </c>
      <c r="C23" s="38" t="n">
        <v>7.5042</v>
      </c>
      <c r="D23" s="38" t="n">
        <v>6.0137</v>
      </c>
      <c r="E23" s="38" t="n">
        <v>4.83</v>
      </c>
      <c r="F23" s="39" t="n">
        <v>19</v>
      </c>
      <c r="G23" s="39" t="n">
        <v>15</v>
      </c>
      <c r="H23" s="38" t="n">
        <v>114.26</v>
      </c>
      <c r="I23" s="38" t="n">
        <v>72.45</v>
      </c>
      <c r="J23" s="6" t="inlineStr">
        <is>
          <t>差</t>
        </is>
      </c>
      <c r="K23" s="6" t="inlineStr">
        <is>
          <t>好</t>
        </is>
      </c>
      <c r="L23" s="23" t="inlineStr">
        <is>
          <t>📊 4天好＋7天差</t>
        </is>
      </c>
      <c r="M23" s="23" t="inlineStr">
        <is>
          <t>繼續觀察</t>
        </is>
      </c>
      <c r="N23" s="31" t="inlineStr">
        <is>
          <t>🟡 警示觀察</t>
        </is>
      </c>
      <c r="O23" s="31" t="inlineStr">
        <is>
          <t>🟡 CPL偏高且無轉換，密切監控</t>
        </is>
      </c>
    </row>
    <row r="24" ht="22" customHeight="1">
      <c r="A24" s="25" t="inlineStr">
        <is>
          <t>1209 安靜擴張事業藍圖</t>
        </is>
      </c>
      <c r="B24" s="25" t="inlineStr">
        <is>
          <t>120237101996710783</t>
        </is>
      </c>
      <c r="C24" s="41" t="n"/>
      <c r="D24" s="41" t="n"/>
      <c r="E24" s="41" t="n"/>
      <c r="F24" s="42" t="n">
        <v>0</v>
      </c>
      <c r="G24" s="42" t="n">
        <v>0</v>
      </c>
      <c r="H24" s="41" t="n">
        <v>0.42</v>
      </c>
      <c r="I24" s="41" t="n"/>
      <c r="J24" s="25" t="inlineStr">
        <is>
          <t>—</t>
        </is>
      </c>
      <c r="K24" s="25" t="inlineStr">
        <is>
          <t>—</t>
        </is>
      </c>
      <c r="L24" s="29" t="inlineStr">
        <is>
          <t>⚪ 資料不足</t>
        </is>
      </c>
      <c r="M24" s="29" t="inlineStr">
        <is>
          <t>待觀察</t>
        </is>
      </c>
      <c r="N24" s="30" t="inlineStr">
        <is>
          <t>🚫 垃圾廣告</t>
        </is>
      </c>
      <c r="O24" s="30" t="inlineStr">
        <is>
          <t>❌ 建議關閉（無諮詢轉換）</t>
        </is>
      </c>
    </row>
    <row r="25" ht="22" customHeight="1">
      <c r="A25" s="6" t="inlineStr">
        <is>
          <t>0307 用知識發光 - 複本</t>
        </is>
      </c>
      <c r="B25" s="6" t="inlineStr">
        <is>
          <t>120240827446360783</t>
        </is>
      </c>
      <c r="C25" s="38" t="n">
        <v>1.08</v>
      </c>
      <c r="D25" s="38" t="n"/>
      <c r="E25" s="38" t="n"/>
      <c r="F25" s="39" t="n">
        <v>0</v>
      </c>
      <c r="G25" s="39" t="n">
        <v>0</v>
      </c>
      <c r="H25" s="38" t="n"/>
      <c r="I25" s="38" t="n"/>
      <c r="J25" s="6" t="inlineStr">
        <is>
          <t>—</t>
        </is>
      </c>
      <c r="K25" s="6" t="inlineStr">
        <is>
          <t>—</t>
        </is>
      </c>
      <c r="L25" s="29" t="inlineStr">
        <is>
          <t>⚪ 資料不足</t>
        </is>
      </c>
      <c r="M25" s="29" t="inlineStr">
        <is>
          <t>待觀察</t>
        </is>
      </c>
      <c r="N25" s="23" t="inlineStr">
        <is>
          <t>⚠️ 第三等</t>
        </is>
      </c>
      <c r="O25" s="23" t="inlineStr">
        <is>
          <t>⚠️ 謹慎保留，觀察是否帶出諮詢</t>
        </is>
      </c>
    </row>
    <row r="26" ht="22" customHeight="1">
      <c r="A26" s="25" t="inlineStr">
        <is>
          <t>0327 假裝外向</t>
        </is>
      </c>
      <c r="B26" s="25" t="inlineStr">
        <is>
          <t>120241838885270783</t>
        </is>
      </c>
      <c r="C26" s="41" t="n">
        <v>7.475</v>
      </c>
      <c r="D26" s="41" t="n">
        <v>4.925</v>
      </c>
      <c r="E26" s="41" t="n"/>
      <c r="F26" s="42" t="n">
        <v>2</v>
      </c>
      <c r="G26" s="42" t="n">
        <v>0</v>
      </c>
      <c r="H26" s="41" t="n">
        <v>9.85</v>
      </c>
      <c r="I26" s="41" t="n"/>
      <c r="J26" s="25" t="inlineStr">
        <is>
          <t>好</t>
        </is>
      </c>
      <c r="K26" s="25" t="inlineStr">
        <is>
          <t>—</t>
        </is>
      </c>
      <c r="L26" s="29" t="inlineStr">
        <is>
          <t>⚪ 資料不足</t>
        </is>
      </c>
      <c r="M26" s="29" t="inlineStr">
        <is>
          <t>待觀察</t>
        </is>
      </c>
      <c r="N26" s="31" t="inlineStr">
        <is>
          <t>🟡 警示觀察</t>
        </is>
      </c>
      <c r="O26" s="31" t="inlineStr">
        <is>
          <t>🟡 CPL偏高且無轉換，密切監控</t>
        </is>
      </c>
    </row>
    <row r="27" ht="22" customHeight="1">
      <c r="A27" s="6" t="inlineStr">
        <is>
          <t>0327 假裝外向</t>
        </is>
      </c>
      <c r="B27" s="6" t="inlineStr">
        <is>
          <t>120241841146670783</t>
        </is>
      </c>
      <c r="C27" s="38" t="n">
        <v>7.08</v>
      </c>
      <c r="D27" s="38" t="n">
        <v>19.63</v>
      </c>
      <c r="E27" s="38" t="n"/>
      <c r="F27" s="39" t="n">
        <v>1</v>
      </c>
      <c r="G27" s="39" t="n">
        <v>0</v>
      </c>
      <c r="H27" s="38" t="n">
        <v>19.63</v>
      </c>
      <c r="I27" s="38" t="n"/>
      <c r="J27" s="6" t="inlineStr">
        <is>
          <t>差</t>
        </is>
      </c>
      <c r="K27" s="6" t="inlineStr">
        <is>
          <t>—</t>
        </is>
      </c>
      <c r="L27" s="29" t="inlineStr">
        <is>
          <t>⚪ 資料不足</t>
        </is>
      </c>
      <c r="M27" s="29" t="inlineStr">
        <is>
          <t>待觀察</t>
        </is>
      </c>
      <c r="N27" s="31" t="inlineStr">
        <is>
          <t>🟡 警示觀察</t>
        </is>
      </c>
      <c r="O27" s="31" t="inlineStr">
        <is>
          <t>🟡 CPL偏高且無轉換，密切監控</t>
        </is>
      </c>
    </row>
    <row r="28" ht="22" customHeight="1">
      <c r="A28" s="25" t="inlineStr">
        <is>
          <t>0327 90% 新手踩坑</t>
        </is>
      </c>
      <c r="B28" s="25" t="inlineStr">
        <is>
          <t>120241842135890783</t>
        </is>
      </c>
      <c r="C28" s="41" t="n">
        <v>10.8756</v>
      </c>
      <c r="D28" s="41" t="n">
        <v>12.6075</v>
      </c>
      <c r="E28" s="41" t="n">
        <v>11.8829</v>
      </c>
      <c r="F28" s="42" t="n">
        <v>8</v>
      </c>
      <c r="G28" s="42" t="n">
        <v>7</v>
      </c>
      <c r="H28" s="41" t="n">
        <v>100.86</v>
      </c>
      <c r="I28" s="41" t="n">
        <v>83.18000000000001</v>
      </c>
      <c r="J28" s="25" t="inlineStr">
        <is>
          <t>差</t>
        </is>
      </c>
      <c r="K28" s="25" t="inlineStr">
        <is>
          <t>差</t>
        </is>
      </c>
      <c r="L28" s="30" t="inlineStr">
        <is>
          <t>📉 4天差＋7天差</t>
        </is>
      </c>
      <c r="M28" s="30" t="inlineStr">
        <is>
          <t>立即關閉</t>
        </is>
      </c>
      <c r="N28" s="30" t="inlineStr">
        <is>
          <t>🚫 垃圾廣告</t>
        </is>
      </c>
      <c r="O28" s="30" t="inlineStr">
        <is>
          <t>❌ 立即關閉</t>
        </is>
      </c>
    </row>
  </sheetData>
  <mergeCells count="3">
    <mergeCell ref="A1:O1"/>
    <mergeCell ref="A16:O16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8" customWidth="1" min="5" max="5"/>
    <col width="46" customWidth="1" min="6" max="6"/>
  </cols>
  <sheetData>
    <row r="1" ht="34" customHeight="1">
      <c r="A1" s="19" t="inlineStr">
        <is>
          <t>廣告決策行動清單｜優先順序排列｜2026年4月W17上週</t>
        </is>
      </c>
    </row>
    <row r="2" ht="26" customHeight="1">
      <c r="A2" s="51" t="inlineStr">
        <is>
          <t>❌ 立即關閉</t>
        </is>
      </c>
    </row>
    <row r="3" ht="36" customHeight="1">
      <c r="A3" s="9" t="inlineStr">
        <is>
          <t>廣告名稱</t>
        </is>
      </c>
      <c r="B3" s="9" t="inlineStr">
        <is>
          <t>本期CPL</t>
        </is>
      </c>
      <c r="C3" s="9" t="inlineStr">
        <is>
          <t>CPQL</t>
        </is>
      </c>
      <c r="D3" s="9" t="inlineStr">
        <is>
          <t>7天CPL</t>
        </is>
      </c>
      <c r="E3" s="9" t="inlineStr">
        <is>
          <t>4天CPL</t>
        </is>
      </c>
      <c r="F3" s="9" t="inlineStr">
        <is>
          <t>建議說明</t>
        </is>
      </c>
    </row>
    <row r="4" ht="22" customHeight="1">
      <c r="A4" s="16" t="inlineStr">
        <is>
          <t>0327 90% 新手踩坑</t>
        </is>
      </c>
      <c r="B4" s="52" t="n">
        <v>10.8756</v>
      </c>
      <c r="C4" s="52" t="n"/>
      <c r="D4" s="52" t="n">
        <v>12.6075</v>
      </c>
      <c r="E4" s="52" t="n">
        <v>11.8829</v>
      </c>
      <c r="F4" s="36" t="inlineStr">
        <is>
          <t>CPL $10.88｜7天 $12.61｜4天 $11.88</t>
        </is>
      </c>
    </row>
    <row r="6" ht="26" customHeight="1">
      <c r="A6" s="51" t="inlineStr">
        <is>
          <t>❌ 建議關閉</t>
        </is>
      </c>
    </row>
    <row r="7" ht="36" customHeight="1">
      <c r="A7" s="9" t="inlineStr">
        <is>
          <t>廣告名稱</t>
        </is>
      </c>
      <c r="B7" s="9" t="inlineStr">
        <is>
          <t>本期CPL</t>
        </is>
      </c>
      <c r="C7" s="9" t="inlineStr">
        <is>
          <t>CPQL</t>
        </is>
      </c>
      <c r="D7" s="9" t="inlineStr">
        <is>
          <t>7天CPL</t>
        </is>
      </c>
      <c r="E7" s="9" t="inlineStr">
        <is>
          <t>4天CPL</t>
        </is>
      </c>
      <c r="F7" s="9" t="inlineStr">
        <is>
          <t>建議說明</t>
        </is>
      </c>
    </row>
    <row r="8" ht="22" customHeight="1">
      <c r="A8" s="16" t="inlineStr">
        <is>
          <t>1031 不日更坐收長遠效益</t>
        </is>
      </c>
      <c r="B8" s="52" t="n"/>
      <c r="C8" s="52" t="n"/>
      <c r="D8" s="52" t="n"/>
      <c r="E8" s="52" t="n"/>
      <c r="F8" s="36" t="inlineStr"/>
    </row>
    <row r="10" ht="22" customHeight="1">
      <c r="A10" s="16" t="inlineStr">
        <is>
          <t>1209 安靜擴張事業藍圖</t>
        </is>
      </c>
      <c r="B10" s="52" t="n"/>
      <c r="C10" s="52" t="n"/>
      <c r="D10" s="52" t="n"/>
      <c r="E10" s="52" t="n"/>
      <c r="F10" s="36" t="inlineStr"/>
    </row>
    <row r="12" ht="26" customHeight="1">
      <c r="A12" s="53" t="inlineStr">
        <is>
          <t>⚠️ 謹慎觀察</t>
        </is>
      </c>
    </row>
    <row r="13" ht="36" customHeight="1">
      <c r="A13" s="9" t="inlineStr">
        <is>
          <t>廣告名稱</t>
        </is>
      </c>
      <c r="B13" s="9" t="inlineStr">
        <is>
          <t>本期CPL</t>
        </is>
      </c>
      <c r="C13" s="9" t="inlineStr">
        <is>
          <t>CPQL</t>
        </is>
      </c>
      <c r="D13" s="9" t="inlineStr">
        <is>
          <t>7天CPL</t>
        </is>
      </c>
      <c r="E13" s="9" t="inlineStr">
        <is>
          <t>4天CPL</t>
        </is>
      </c>
      <c r="F13" s="9" t="inlineStr">
        <is>
          <t>建議說明</t>
        </is>
      </c>
    </row>
    <row r="14" ht="22" customHeight="1">
      <c r="A14" s="12" t="inlineStr">
        <is>
          <t>0426 I 人的長遠經營法</t>
        </is>
      </c>
      <c r="B14" s="54" t="n">
        <v>4.1748</v>
      </c>
      <c r="C14" s="54" t="n"/>
      <c r="D14" s="54" t="n">
        <v>4.7991</v>
      </c>
      <c r="E14" s="54" t="n">
        <v>7.1957</v>
      </c>
      <c r="F14" s="55" t="inlineStr">
        <is>
          <t>CPL $4.17｜7天 $4.80｜4天 $7.20</t>
        </is>
      </c>
    </row>
    <row r="16" ht="22" customHeight="1">
      <c r="A16" s="12" t="inlineStr">
        <is>
          <t>0623 Ｉ人變體Ｃ_不跟風</t>
        </is>
      </c>
      <c r="B16" s="54" t="n">
        <v>3.8446</v>
      </c>
      <c r="C16" s="54" t="n"/>
      <c r="D16" s="54" t="n">
        <v>4.0236</v>
      </c>
      <c r="E16" s="54" t="n">
        <v>3.4968</v>
      </c>
      <c r="F16" s="55" t="inlineStr">
        <is>
          <t>CPL $3.84｜7天 $4.02｜4天 $3.50</t>
        </is>
      </c>
    </row>
    <row r="18" ht="22" customHeight="1">
      <c r="A18" s="12" t="inlineStr">
        <is>
          <t>0912 I 人變體Ｂ_反預設</t>
        </is>
      </c>
      <c r="B18" s="54" t="n">
        <v>3.3606</v>
      </c>
      <c r="C18" s="54" t="n"/>
      <c r="D18" s="54" t="n">
        <v>3.4615</v>
      </c>
      <c r="E18" s="54" t="n">
        <v>3.5582</v>
      </c>
      <c r="F18" s="55" t="inlineStr">
        <is>
          <t>CPL $3.36｜7天 $3.46｜4天 $3.56</t>
        </is>
      </c>
    </row>
    <row r="20" ht="22" customHeight="1">
      <c r="A20" s="12" t="inlineStr">
        <is>
          <t>0917 用知識發光</t>
        </is>
      </c>
      <c r="B20" s="54" t="n">
        <v>3.33</v>
      </c>
      <c r="C20" s="54" t="n"/>
      <c r="D20" s="54" t="n">
        <v>6.17</v>
      </c>
      <c r="E20" s="54" t="n"/>
      <c r="F20" s="55" t="inlineStr">
        <is>
          <t>CPL $3.33｜7天 $6.17</t>
        </is>
      </c>
    </row>
    <row r="22" ht="22" customHeight="1">
      <c r="A22" s="12" t="inlineStr">
        <is>
          <t>1209 安靜擴張事業藍圖</t>
        </is>
      </c>
      <c r="B22" s="54" t="n">
        <v>7.5042</v>
      </c>
      <c r="C22" s="54" t="n"/>
      <c r="D22" s="54" t="n">
        <v>6.0137</v>
      </c>
      <c r="E22" s="54" t="n">
        <v>4.83</v>
      </c>
      <c r="F22" s="55" t="inlineStr">
        <is>
          <t>CPL $7.50｜7天 $6.01｜4天 $4.83</t>
        </is>
      </c>
    </row>
    <row r="24" ht="22" customHeight="1">
      <c r="A24" s="12" t="inlineStr">
        <is>
          <t>0307 用知識發光 - 複本</t>
        </is>
      </c>
      <c r="B24" s="54" t="n">
        <v>1.08</v>
      </c>
      <c r="C24" s="54" t="n"/>
      <c r="D24" s="54" t="n"/>
      <c r="E24" s="54" t="n"/>
      <c r="F24" s="55" t="inlineStr">
        <is>
          <t>CPL $1.08</t>
        </is>
      </c>
    </row>
    <row r="26" ht="22" customHeight="1">
      <c r="A26" s="12" t="inlineStr">
        <is>
          <t>0327 假裝外向</t>
        </is>
      </c>
      <c r="B26" s="54" t="n">
        <v>7.475</v>
      </c>
      <c r="C26" s="54" t="n"/>
      <c r="D26" s="54" t="n">
        <v>4.925</v>
      </c>
      <c r="E26" s="54" t="n"/>
      <c r="F26" s="55" t="inlineStr">
        <is>
          <t>CPL $7.47｜7天 $4.92</t>
        </is>
      </c>
    </row>
    <row r="28" ht="22" customHeight="1">
      <c r="A28" s="12" t="inlineStr">
        <is>
          <t>0327 假裝外向</t>
        </is>
      </c>
      <c r="B28" s="54" t="n">
        <v>7.08</v>
      </c>
      <c r="C28" s="54" t="n"/>
      <c r="D28" s="54" t="n">
        <v>19.63</v>
      </c>
      <c r="E28" s="54" t="n"/>
      <c r="F28" s="55" t="inlineStr">
        <is>
          <t>CPL $7.08｜7天 $19.63</t>
        </is>
      </c>
    </row>
  </sheetData>
  <mergeCells count="4">
    <mergeCell ref="A2:F2"/>
    <mergeCell ref="A6:F6"/>
    <mergeCell ref="A1:F1"/>
    <mergeCell ref="A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2026-04-27T13:01:29Z</dcterms:created>
  <dcterms:modified xsi:type="dcterms:W3CDTF">2026-04-27T13:01:29Z</dcterms:modified>
</cp:coreProperties>
</file>