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📢 廣告素材效益" sheetId="1" state="visible" r:id="rId1"/>
    <sheet name="📋 諮詢比對明細" sheetId="2" state="visible" r:id="rId2"/>
    <sheet name="📥 Systeme名單統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856404"/>
      <sz val="10"/>
    </font>
    <font>
      <name val="Arial"/>
      <b val="1"/>
      <color rgb="001E7E34"/>
      <sz val="10"/>
    </font>
    <font>
      <name val="Arial"/>
      <b val="1"/>
      <color rgb="000C5460"/>
      <sz val="10"/>
    </font>
    <font>
      <name val="Arial"/>
      <b val="1"/>
      <color rgb="006C757D"/>
      <sz val="10"/>
    </font>
    <font>
      <name val="Arial"/>
      <b val="1"/>
      <color rgb="006B5900"/>
      <sz val="10"/>
    </font>
    <font>
      <name val="Arial"/>
      <b val="1"/>
      <color rgb="005A4E00"/>
      <sz val="10"/>
    </font>
    <font>
      <name val="Arial"/>
      <b val="1"/>
      <color rgb="00721C24"/>
      <sz val="10"/>
    </font>
  </fonts>
  <fills count="13">
    <fill>
      <patternFill/>
    </fill>
    <fill>
      <patternFill patternType="gray125"/>
    </fill>
    <fill>
      <patternFill patternType="solid">
        <fgColor rgb="001A2E44"/>
      </patternFill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EBF3FB"/>
      </patternFill>
    </fill>
    <fill>
      <patternFill patternType="solid">
        <fgColor rgb="00D1ECF1"/>
      </patternFill>
    </fill>
    <fill>
      <patternFill patternType="solid">
        <fgColor rgb="00F8F9FA"/>
      </patternFill>
    </fill>
    <fill>
      <patternFill patternType="solid">
        <fgColor rgb="00FFFACD"/>
      </patternFill>
    </fill>
    <fill>
      <patternFill patternType="solid">
        <fgColor rgb="00FEF9E7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3" fontId="3" fillId="7" borderId="1" applyAlignment="1" pivotButton="0" quotePrefix="0" xfId="0">
      <alignment horizontal="left" vertical="center" wrapText="1"/>
    </xf>
    <xf numFmtId="164" fontId="3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164" fontId="3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164" fontId="3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164" fontId="3" fillId="12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 wrapText="1"/>
    </xf>
    <xf numFmtId="165" fontId="3" fillId="4" borderId="1" applyAlignment="1" pivotButton="0" quotePrefix="0" xfId="0">
      <alignment horizontal="left" vertical="center" wrapText="1"/>
    </xf>
    <xf numFmtId="3" fontId="3" fillId="6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left" vertical="center" wrapText="1"/>
    </xf>
    <xf numFmtId="165" fontId="3" fillId="6" borderId="1" applyAlignment="1" pivotButton="0" quotePrefix="0" xfId="0">
      <alignment horizontal="left" vertical="center" wrapText="1"/>
    </xf>
    <xf numFmtId="165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8" customWidth="1" min="4" max="4"/>
    <col width="10" customWidth="1" min="5" max="5"/>
    <col width="12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8" customWidth="1" min="12" max="12"/>
    <col width="8" customWidth="1" min="13" max="13"/>
    <col width="8" customWidth="1" min="14" max="14"/>
    <col width="20" customWidth="1" min="15" max="15"/>
    <col width="16" customWidth="1" min="16" max="16"/>
    <col width="20" customWidth="1" min="17" max="17"/>
    <col width="14" customWidth="1" min="18" max="18"/>
    <col width="28" customWidth="1" min="19" max="19"/>
  </cols>
  <sheetData>
    <row r="1" ht="34" customHeight="1">
      <c r="A1" s="1" t="inlineStr">
        <is>
          <t>BRAND 廣告素材效益分析｜2026年3月W14–4月W16（三週合併）｜CPL 判準：≤$5 好 / $5–$8 警示 / ≥$8 不行</t>
        </is>
      </c>
    </row>
    <row r="2" ht="36" customHeight="1">
      <c r="A2" s="2" t="inlineStr">
        <is>
          <t>廣告名稱</t>
        </is>
      </c>
      <c r="B2" s="2" t="inlineStr">
        <is>
          <t>廣告編號</t>
        </is>
      </c>
      <c r="C2" s="2" t="inlineStr">
        <is>
          <t>廣告組合</t>
        </is>
      </c>
      <c r="D2" s="2" t="inlineStr">
        <is>
          <t>狀態</t>
        </is>
      </c>
      <c r="E2" s="2" t="inlineStr">
        <is>
          <t>本期
Meta成果</t>
        </is>
      </c>
      <c r="F2" s="2" t="inlineStr">
        <is>
          <t>本期
CPL</t>
        </is>
      </c>
      <c r="G2" s="2" t="inlineStr">
        <is>
          <t>Systeme
名單數</t>
        </is>
      </c>
      <c r="H2" s="2" t="inlineStr">
        <is>
          <t>Systeme
CPL</t>
        </is>
      </c>
      <c r="I2" s="2" t="inlineStr">
        <is>
          <t>本期花費
(USD)</t>
        </is>
      </c>
      <c r="J2" s="2" t="inlineStr">
        <is>
          <t>觸及
人數</t>
        </is>
      </c>
      <c r="K2" s="2" t="inlineStr">
        <is>
          <t>曝光
次數</t>
        </is>
      </c>
      <c r="L2" s="2" t="inlineStr">
        <is>
          <t>諮詢
數量</t>
        </is>
      </c>
      <c r="M2" s="2" t="inlineStr">
        <is>
          <t>成交
數量</t>
        </is>
      </c>
      <c r="N2" s="2" t="inlineStr">
        <is>
          <t>需跟進
數量</t>
        </is>
      </c>
      <c r="O2" s="2" t="inlineStr">
        <is>
          <t>諮詢者姓名</t>
        </is>
      </c>
      <c r="P2" s="2" t="inlineStr">
        <is>
          <t>四象限</t>
        </is>
      </c>
      <c r="Q2" s="2" t="inlineStr">
        <is>
          <t>趨勢
(4/7天)</t>
        </is>
      </c>
      <c r="R2" s="2" t="inlineStr">
        <is>
          <t>趨勢
建議</t>
        </is>
      </c>
      <c r="S2" s="2" t="inlineStr">
        <is>
          <t>最終建議</t>
        </is>
      </c>
    </row>
    <row r="3" ht="22" customHeight="1">
      <c r="A3" s="3" t="inlineStr">
        <is>
          <t>0426 I 人的長遠經營法</t>
        </is>
      </c>
      <c r="B3" s="3" t="inlineStr">
        <is>
          <t>120220257203550783</t>
        </is>
      </c>
      <c r="C3" s="3" t="inlineStr">
        <is>
          <t>L06-25-44-類似受眾_名單 2% 0413</t>
        </is>
      </c>
      <c r="D3" s="3" t="inlineStr"/>
      <c r="E3" s="4" t="n">
        <v>83</v>
      </c>
      <c r="F3" s="5" t="n">
        <v>3.4034</v>
      </c>
      <c r="G3" s="4" t="n">
        <v>51</v>
      </c>
      <c r="H3" s="5" t="n">
        <v>5.538823529411765</v>
      </c>
      <c r="I3" s="5" t="n">
        <v>282.48</v>
      </c>
      <c r="J3" s="4" t="n">
        <v>23370</v>
      </c>
      <c r="K3" s="4" t="n">
        <v>34299</v>
      </c>
      <c r="L3" s="4" t="n">
        <v>0</v>
      </c>
      <c r="M3" s="4" t="n">
        <v>0</v>
      </c>
      <c r="N3" s="4" t="n">
        <v>0</v>
      </c>
      <c r="O3" s="3" t="inlineStr">
        <is>
          <t>—</t>
        </is>
      </c>
      <c r="P3" s="6" t="inlineStr">
        <is>
          <t>⚠️ 第三等</t>
        </is>
      </c>
      <c r="Q3" s="7" t="inlineStr">
        <is>
          <t>📈 4天好＋7天好</t>
        </is>
      </c>
      <c r="R3" s="7" t="inlineStr">
        <is>
          <t>加預算</t>
        </is>
      </c>
      <c r="S3" s="6" t="inlineStr">
        <is>
          <t>⚠️ 謹慎保留，觀察是否帶出諮詢</t>
        </is>
      </c>
    </row>
    <row r="4" ht="22" customHeight="1">
      <c r="A4" s="8" t="inlineStr">
        <is>
          <t>0623 Ｉ人變體Ｃ_不跟風</t>
        </is>
      </c>
      <c r="B4" s="8" t="inlineStr">
        <is>
          <t>120226368838380783</t>
        </is>
      </c>
      <c r="C4" s="8" t="inlineStr">
        <is>
          <t>L06-25-44-類似受眾_學員 1% 0409</t>
        </is>
      </c>
      <c r="D4" s="8" t="inlineStr"/>
      <c r="E4" s="9" t="n">
        <v>110</v>
      </c>
      <c r="F4" s="10" t="n">
        <v>3.3566</v>
      </c>
      <c r="G4" s="9" t="n">
        <v>47</v>
      </c>
      <c r="H4" s="10" t="n">
        <v>7.855957446808511</v>
      </c>
      <c r="I4" s="10" t="n">
        <v>369.23</v>
      </c>
      <c r="J4" s="9" t="n">
        <v>26455</v>
      </c>
      <c r="K4" s="9" t="n">
        <v>42394</v>
      </c>
      <c r="L4" s="9" t="n">
        <v>0</v>
      </c>
      <c r="M4" s="9" t="n">
        <v>0</v>
      </c>
      <c r="N4" s="9" t="n">
        <v>0</v>
      </c>
      <c r="O4" s="8" t="inlineStr">
        <is>
          <t>—</t>
        </is>
      </c>
      <c r="P4" s="6" t="inlineStr">
        <is>
          <t>⚠️ 第三等</t>
        </is>
      </c>
      <c r="Q4" s="7" t="inlineStr">
        <is>
          <t>📈 4天好＋7天好</t>
        </is>
      </c>
      <c r="R4" s="7" t="inlineStr">
        <is>
          <t>加預算</t>
        </is>
      </c>
      <c r="S4" s="6" t="inlineStr">
        <is>
          <t>⚠️ 謹慎保留，觀察是否帶出諮詢</t>
        </is>
      </c>
    </row>
    <row r="5" ht="22" customHeight="1">
      <c r="A5" s="3" t="inlineStr">
        <is>
          <t>0912 I 人變體Ｂ_反預設</t>
        </is>
      </c>
      <c r="B5" s="3" t="inlineStr">
        <is>
          <t>120231851090270783</t>
        </is>
      </c>
      <c r="C5" s="3" t="inlineStr">
        <is>
          <t>L07-25-44-類似受眾_諮詢 1% 0413</t>
        </is>
      </c>
      <c r="D5" s="3" t="inlineStr"/>
      <c r="E5" s="4" t="n">
        <v>112</v>
      </c>
      <c r="F5" s="5" t="n">
        <v>4.1656</v>
      </c>
      <c r="G5" s="4" t="n">
        <v>64</v>
      </c>
      <c r="H5" s="5" t="n">
        <v>7.28984375</v>
      </c>
      <c r="I5" s="5" t="n">
        <v>466.55</v>
      </c>
      <c r="J5" s="4" t="n">
        <v>25472</v>
      </c>
      <c r="K5" s="4" t="n">
        <v>41389</v>
      </c>
      <c r="L5" s="4" t="n">
        <v>1</v>
      </c>
      <c r="M5" s="4" t="n">
        <v>0</v>
      </c>
      <c r="N5" s="4" t="n">
        <v>0</v>
      </c>
      <c r="O5" s="3" t="inlineStr">
        <is>
          <t>Anne Lin</t>
        </is>
      </c>
      <c r="P5" s="7" t="inlineStr">
        <is>
          <t>⭐ 優等廣告</t>
        </is>
      </c>
      <c r="Q5" s="6" t="inlineStr">
        <is>
          <t>📊 4天好＋7天差</t>
        </is>
      </c>
      <c r="R5" s="6" t="inlineStr">
        <is>
          <t>繼續觀察</t>
        </is>
      </c>
      <c r="S5" s="11" t="inlineStr">
        <is>
          <t>👀 優質素材，持續監控趨勢</t>
        </is>
      </c>
    </row>
    <row r="6" ht="22" customHeight="1">
      <c r="A6" s="8" t="inlineStr">
        <is>
          <t>0917 用知識發光</t>
        </is>
      </c>
      <c r="B6" s="8" t="inlineStr">
        <is>
          <t>120232166679900783</t>
        </is>
      </c>
      <c r="C6" s="8" t="inlineStr">
        <is>
          <t>L11-30-50 創業 0917</t>
        </is>
      </c>
      <c r="D6" s="8" t="inlineStr"/>
      <c r="E6" s="9" t="n">
        <v>73</v>
      </c>
      <c r="F6" s="10" t="n">
        <v>3.7895</v>
      </c>
      <c r="G6" s="9" t="n">
        <v>46</v>
      </c>
      <c r="H6" s="10" t="n">
        <v>6.013695652173913</v>
      </c>
      <c r="I6" s="10" t="n">
        <v>276.63</v>
      </c>
      <c r="J6" s="9" t="n">
        <v>25448</v>
      </c>
      <c r="K6" s="9" t="n">
        <v>39016</v>
      </c>
      <c r="L6" s="9" t="n">
        <v>0</v>
      </c>
      <c r="M6" s="9" t="n">
        <v>0</v>
      </c>
      <c r="N6" s="9" t="n">
        <v>0</v>
      </c>
      <c r="O6" s="8" t="inlineStr">
        <is>
          <t>—</t>
        </is>
      </c>
      <c r="P6" s="6" t="inlineStr">
        <is>
          <t>⚠️ 第三等</t>
        </is>
      </c>
      <c r="Q6" s="7" t="inlineStr">
        <is>
          <t>📈 4天好＋7天好</t>
        </is>
      </c>
      <c r="R6" s="7" t="inlineStr">
        <is>
          <t>加預算</t>
        </is>
      </c>
      <c r="S6" s="6" t="inlineStr">
        <is>
          <t>⚠️ 謹慎保留，觀察是否帶出諮詢</t>
        </is>
      </c>
    </row>
    <row r="7" ht="22" customHeight="1">
      <c r="A7" s="3" t="inlineStr">
        <is>
          <t>1031 不日更坐收長遠效益</t>
        </is>
      </c>
      <c r="B7" s="3" t="inlineStr">
        <is>
          <t>120234830077320783</t>
        </is>
      </c>
      <c r="C7" s="3" t="inlineStr">
        <is>
          <t>L06-25-44-類似受眾_學員 1% 0409</t>
        </is>
      </c>
      <c r="D7" s="3" t="inlineStr"/>
      <c r="E7" s="4" t="n">
        <v>8</v>
      </c>
      <c r="F7" s="5" t="n">
        <v>4.325</v>
      </c>
      <c r="G7" s="4" t="n">
        <v>1</v>
      </c>
      <c r="H7" s="5" t="n">
        <v>34.6</v>
      </c>
      <c r="I7" s="5" t="n">
        <v>34.6</v>
      </c>
      <c r="J7" s="4" t="n">
        <v>2669</v>
      </c>
      <c r="K7" s="4" t="n">
        <v>4635</v>
      </c>
      <c r="L7" s="4" t="n">
        <v>0</v>
      </c>
      <c r="M7" s="4" t="n">
        <v>0</v>
      </c>
      <c r="N7" s="4" t="n">
        <v>0</v>
      </c>
      <c r="O7" s="3" t="inlineStr">
        <is>
          <t>—</t>
        </is>
      </c>
      <c r="P7" s="6" t="inlineStr">
        <is>
          <t>⚠️ 第三等</t>
        </is>
      </c>
      <c r="Q7" s="12" t="inlineStr">
        <is>
          <t>⚪ 資料不足</t>
        </is>
      </c>
      <c r="R7" s="12" t="inlineStr">
        <is>
          <t>待觀察</t>
        </is>
      </c>
      <c r="S7" s="6" t="inlineStr">
        <is>
          <t>⚠️ 謹慎保留，觀察是否帶出諮詢</t>
        </is>
      </c>
    </row>
    <row r="8" ht="22" customHeight="1">
      <c r="A8" s="8" t="inlineStr">
        <is>
          <t>1209 安靜擴張事業藍圖</t>
        </is>
      </c>
      <c r="B8" s="8" t="inlineStr">
        <is>
          <t>120237101955040783</t>
        </is>
      </c>
      <c r="C8" s="8" t="inlineStr">
        <is>
          <t>L11-30-50 創業 0917</t>
        </is>
      </c>
      <c r="D8" s="8" t="inlineStr"/>
      <c r="E8" s="9" t="n">
        <v>29</v>
      </c>
      <c r="F8" s="10" t="n">
        <v>3.7566</v>
      </c>
      <c r="G8" s="9" t="n">
        <v>8</v>
      </c>
      <c r="H8" s="10" t="n">
        <v>13.6175</v>
      </c>
      <c r="I8" s="10" t="n">
        <v>108.94</v>
      </c>
      <c r="J8" s="9" t="n">
        <v>8351</v>
      </c>
      <c r="K8" s="9" t="n">
        <v>13428</v>
      </c>
      <c r="L8" s="9" t="n">
        <v>0</v>
      </c>
      <c r="M8" s="9" t="n">
        <v>0</v>
      </c>
      <c r="N8" s="9" t="n">
        <v>0</v>
      </c>
      <c r="O8" s="8" t="inlineStr">
        <is>
          <t>—</t>
        </is>
      </c>
      <c r="P8" s="6" t="inlineStr">
        <is>
          <t>⚠️ 第三等</t>
        </is>
      </c>
      <c r="Q8" s="7" t="inlineStr">
        <is>
          <t>📈 4天好＋7天好</t>
        </is>
      </c>
      <c r="R8" s="7" t="inlineStr">
        <is>
          <t>加預算</t>
        </is>
      </c>
      <c r="S8" s="6" t="inlineStr">
        <is>
          <t>⚠️ 謹慎保留，觀察是否帶出諮詢</t>
        </is>
      </c>
    </row>
    <row r="9" ht="22" customHeight="1">
      <c r="A9" s="3" t="inlineStr">
        <is>
          <t>1209 安靜擴張事業藍圖</t>
        </is>
      </c>
      <c r="B9" s="3" t="inlineStr">
        <is>
          <t>120237101996710783</t>
        </is>
      </c>
      <c r="C9" s="3" t="inlineStr">
        <is>
          <t>L06-25-44-類似受眾_學員 1% 0409</t>
        </is>
      </c>
      <c r="D9" s="3" t="inlineStr"/>
      <c r="E9" s="4" t="n">
        <v>8</v>
      </c>
      <c r="F9" s="5" t="n">
        <v>2.0288</v>
      </c>
      <c r="G9" s="4" t="n">
        <v>4</v>
      </c>
      <c r="H9" s="5" t="n">
        <v>4.0575</v>
      </c>
      <c r="I9" s="5" t="n">
        <v>16.23</v>
      </c>
      <c r="J9" s="4" t="n">
        <v>1105</v>
      </c>
      <c r="K9" s="4" t="n">
        <v>1420</v>
      </c>
      <c r="L9" s="4" t="n">
        <v>0</v>
      </c>
      <c r="M9" s="4" t="n">
        <v>0</v>
      </c>
      <c r="N9" s="4" t="n">
        <v>0</v>
      </c>
      <c r="O9" s="3" t="inlineStr">
        <is>
          <t>—</t>
        </is>
      </c>
      <c r="P9" s="6" t="inlineStr">
        <is>
          <t>⚠️ 第三等</t>
        </is>
      </c>
      <c r="Q9" s="12" t="inlineStr">
        <is>
          <t>⚪ 資料不足</t>
        </is>
      </c>
      <c r="R9" s="12" t="inlineStr">
        <is>
          <t>待觀察</t>
        </is>
      </c>
      <c r="S9" s="6" t="inlineStr">
        <is>
          <t>⚠️ 謹慎保留，觀察是否帶出諮詢</t>
        </is>
      </c>
    </row>
    <row r="10" ht="22" customHeight="1">
      <c r="A10" s="8" t="inlineStr">
        <is>
          <t>0307 用知識發光 - 複本</t>
        </is>
      </c>
      <c r="B10" s="8" t="inlineStr">
        <is>
          <t>120240827446360783</t>
        </is>
      </c>
      <c r="C10" s="8" t="inlineStr">
        <is>
          <t>L11-30-50 創業 0917</t>
        </is>
      </c>
      <c r="D10" s="8" t="inlineStr"/>
      <c r="E10" s="9" t="n">
        <v>6</v>
      </c>
      <c r="F10" s="10" t="n">
        <v>5.8533</v>
      </c>
      <c r="G10" s="9" t="n">
        <v>3</v>
      </c>
      <c r="H10" s="10" t="n">
        <v>11.70666666666667</v>
      </c>
      <c r="I10" s="10" t="n">
        <v>35.12</v>
      </c>
      <c r="J10" s="9" t="n">
        <v>4073</v>
      </c>
      <c r="K10" s="9" t="n">
        <v>4824</v>
      </c>
      <c r="L10" s="9" t="n">
        <v>0</v>
      </c>
      <c r="M10" s="9" t="n">
        <v>0</v>
      </c>
      <c r="N10" s="9" t="n">
        <v>0</v>
      </c>
      <c r="O10" s="8" t="inlineStr">
        <is>
          <t>—</t>
        </is>
      </c>
      <c r="P10" s="13" t="inlineStr">
        <is>
          <t>🟡 警示觀察</t>
        </is>
      </c>
      <c r="Q10" s="7" t="inlineStr">
        <is>
          <t>📈 4天好＋7天好</t>
        </is>
      </c>
      <c r="R10" s="7" t="inlineStr">
        <is>
          <t>加預算</t>
        </is>
      </c>
      <c r="S10" s="13" t="inlineStr">
        <is>
          <t>🟡 CPL偏高且無轉換，密切監控</t>
        </is>
      </c>
    </row>
    <row r="11" ht="22" customHeight="1">
      <c r="A11" s="3" t="inlineStr">
        <is>
          <t>0327 假裝外向</t>
        </is>
      </c>
      <c r="B11" s="3" t="inlineStr">
        <is>
          <t>120241838885270783</t>
        </is>
      </c>
      <c r="C11" s="3" t="inlineStr">
        <is>
          <t>L06-25-44-類似受眾_名單 2% 0413</t>
        </is>
      </c>
      <c r="D11" s="3" t="inlineStr"/>
      <c r="E11" s="4" t="n">
        <v>68</v>
      </c>
      <c r="F11" s="5" t="n">
        <v>3.7687</v>
      </c>
      <c r="G11" s="4" t="n">
        <v>19</v>
      </c>
      <c r="H11" s="5" t="n">
        <v>13.4878947368421</v>
      </c>
      <c r="I11" s="5" t="n">
        <v>256.27</v>
      </c>
      <c r="J11" s="4" t="n">
        <v>20981</v>
      </c>
      <c r="K11" s="4" t="n">
        <v>38571</v>
      </c>
      <c r="L11" s="4" t="n">
        <v>0</v>
      </c>
      <c r="M11" s="4" t="n">
        <v>0</v>
      </c>
      <c r="N11" s="4" t="n">
        <v>0</v>
      </c>
      <c r="O11" s="3" t="inlineStr">
        <is>
          <t>—</t>
        </is>
      </c>
      <c r="P11" s="6" t="inlineStr">
        <is>
          <t>⚠️ 第三等</t>
        </is>
      </c>
      <c r="Q11" s="7" t="inlineStr">
        <is>
          <t>📈 4天好＋7天好</t>
        </is>
      </c>
      <c r="R11" s="7" t="inlineStr">
        <is>
          <t>加預算</t>
        </is>
      </c>
      <c r="S11" s="6" t="inlineStr">
        <is>
          <t>⚠️ 謹慎保留，觀察是否帶出諮詢</t>
        </is>
      </c>
    </row>
    <row r="12" ht="22" customHeight="1">
      <c r="A12" s="8" t="inlineStr">
        <is>
          <t>0327 假裝外向</t>
        </is>
      </c>
      <c r="B12" s="8" t="inlineStr">
        <is>
          <t>120241841146670783</t>
        </is>
      </c>
      <c r="C12" s="8" t="inlineStr">
        <is>
          <t>L07-25-44-類似受眾_諮詢 1% 0413</t>
        </is>
      </c>
      <c r="D12" s="8" t="inlineStr"/>
      <c r="E12" s="9" t="n">
        <v>49</v>
      </c>
      <c r="F12" s="10" t="n">
        <v>3.3176</v>
      </c>
      <c r="G12" s="9" t="n">
        <v>21</v>
      </c>
      <c r="H12" s="10" t="n">
        <v>7.740952380952381</v>
      </c>
      <c r="I12" s="10" t="n">
        <v>162.56</v>
      </c>
      <c r="J12" s="9" t="n">
        <v>12689</v>
      </c>
      <c r="K12" s="9" t="n">
        <v>19674</v>
      </c>
      <c r="L12" s="9" t="n">
        <v>0</v>
      </c>
      <c r="M12" s="9" t="n">
        <v>0</v>
      </c>
      <c r="N12" s="9" t="n">
        <v>0</v>
      </c>
      <c r="O12" s="8" t="inlineStr">
        <is>
          <t>—</t>
        </is>
      </c>
      <c r="P12" s="6" t="inlineStr">
        <is>
          <t>⚠️ 第三等</t>
        </is>
      </c>
      <c r="Q12" s="7" t="inlineStr">
        <is>
          <t>📈 4天好＋7天好</t>
        </is>
      </c>
      <c r="R12" s="7" t="inlineStr">
        <is>
          <t>加預算</t>
        </is>
      </c>
      <c r="S12" s="6" t="inlineStr">
        <is>
          <t>⚠️ 謹慎保留，觀察是否帶出諮詢</t>
        </is>
      </c>
    </row>
    <row r="13" ht="22" customHeight="1">
      <c r="A13" s="3" t="inlineStr">
        <is>
          <t>0327 90% 新手踩坑</t>
        </is>
      </c>
      <c r="B13" s="3" t="inlineStr">
        <is>
          <t>120241842135890783</t>
        </is>
      </c>
      <c r="C13" s="3" t="inlineStr">
        <is>
          <t>L06-25-44-類似受眾_名單 2% 0413</t>
        </is>
      </c>
      <c r="D13" s="3" t="inlineStr"/>
      <c r="E13" s="4" t="n">
        <v>25</v>
      </c>
      <c r="F13" s="5" t="n">
        <v>3.7372</v>
      </c>
      <c r="G13" s="4" t="n">
        <v>9</v>
      </c>
      <c r="H13" s="5" t="n">
        <v>10.38111111111111</v>
      </c>
      <c r="I13" s="5" t="n">
        <v>93.43000000000001</v>
      </c>
      <c r="J13" s="4" t="n">
        <v>3514</v>
      </c>
      <c r="K13" s="4" t="n">
        <v>7941</v>
      </c>
      <c r="L13" s="4" t="n">
        <v>0</v>
      </c>
      <c r="M13" s="4" t="n">
        <v>0</v>
      </c>
      <c r="N13" s="4" t="n">
        <v>0</v>
      </c>
      <c r="O13" s="3" t="inlineStr">
        <is>
          <t>—</t>
        </is>
      </c>
      <c r="P13" s="6" t="inlineStr">
        <is>
          <t>⚠️ 第三等</t>
        </is>
      </c>
      <c r="Q13" s="7" t="inlineStr">
        <is>
          <t>📈 4天好＋7天好</t>
        </is>
      </c>
      <c r="R13" s="7" t="inlineStr">
        <is>
          <t>加預算</t>
        </is>
      </c>
      <c r="S13" s="6" t="inlineStr">
        <is>
          <t>⚠️ 謹慎保留，觀察是否帶出諮詢</t>
        </is>
      </c>
    </row>
    <row r="14" ht="24" customHeight="1">
      <c r="A14" s="14" t="inlineStr">
        <is>
          <t>合計</t>
        </is>
      </c>
      <c r="B14" s="15" t="inlineStr"/>
      <c r="C14" s="15" t="inlineStr"/>
      <c r="D14" s="15" t="inlineStr"/>
      <c r="E14" s="16">
        <f>SUM(E3:E13)</f>
        <v/>
      </c>
      <c r="F14" s="15" t="inlineStr"/>
      <c r="G14" s="15" t="inlineStr"/>
      <c r="H14" s="15" t="inlineStr"/>
      <c r="I14" s="17">
        <f>SUM(I3:I13)</f>
        <v/>
      </c>
      <c r="J14" s="15" t="inlineStr"/>
      <c r="K14" s="15" t="inlineStr"/>
      <c r="L14" s="16">
        <f>SUM(L3:L13)</f>
        <v/>
      </c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30" customWidth="1" min="3" max="3"/>
    <col width="8" customWidth="1" min="4" max="4"/>
    <col width="22" customWidth="1" min="5" max="5"/>
    <col width="26" customWidth="1" min="6" max="6"/>
    <col width="12" customWidth="1" min="7" max="7"/>
    <col width="12" customWidth="1" min="8" max="8"/>
    <col width="24" customWidth="1" min="9" max="9"/>
  </cols>
  <sheetData>
    <row r="1" ht="34" customHeight="1">
      <c r="A1" s="1" t="inlineStr">
        <is>
          <t>BRAND 諮詢來源比對明細｜2026年3月W14–4月W16（三週合併）</t>
        </is>
      </c>
    </row>
    <row r="2" ht="36" customHeight="1">
      <c r="A2" s="2" t="inlineStr">
        <is>
          <t>諮詢時間</t>
        </is>
      </c>
      <c r="B2" s="2" t="inlineStr">
        <is>
          <t>姓名</t>
        </is>
      </c>
      <c r="C2" s="2" t="inlineStr">
        <is>
          <t>Email</t>
        </is>
      </c>
      <c r="D2" s="2" t="inlineStr">
        <is>
          <t>在Systeme？</t>
        </is>
      </c>
      <c r="E2" s="2" t="inlineStr">
        <is>
          <t>utm_content</t>
        </is>
      </c>
      <c r="F2" s="2" t="inlineStr">
        <is>
          <t>廣告名稱</t>
        </is>
      </c>
      <c r="G2" s="2" t="inlineStr">
        <is>
          <t>廣告花費(USD)</t>
        </is>
      </c>
      <c r="H2" s="2" t="inlineStr">
        <is>
          <t>成交狀態</t>
        </is>
      </c>
      <c r="I2" s="2" t="inlineStr">
        <is>
          <t>來源分類</t>
        </is>
      </c>
    </row>
    <row r="3" ht="22" customHeight="1">
      <c r="A3" s="18" t="inlineStr">
        <is>
          <t>2026-04-29</t>
        </is>
      </c>
      <c r="B3" s="18" t="inlineStr">
        <is>
          <t>Anne Lin</t>
        </is>
      </c>
      <c r="C3" s="18" t="inlineStr">
        <is>
          <t>linchingting@gmail.com</t>
        </is>
      </c>
      <c r="D3" s="18" t="inlineStr">
        <is>
          <t>是</t>
        </is>
      </c>
      <c r="E3" s="18" t="inlineStr">
        <is>
          <t>120231851090270783</t>
        </is>
      </c>
      <c r="F3" s="18" t="inlineStr">
        <is>
          <t>0912 I 人變體Ｂ_反預設</t>
        </is>
      </c>
      <c r="G3" s="19" t="n">
        <v>466.55</v>
      </c>
      <c r="H3" s="18" t="inlineStr">
        <is>
          <t>等待諮詢</t>
        </is>
      </c>
      <c r="I3" s="20" t="inlineStr">
        <is>
          <t>✅ Meta廣告（可追蹤）</t>
        </is>
      </c>
    </row>
    <row r="4" ht="22" customHeight="1">
      <c r="A4" s="21" t="inlineStr">
        <is>
          <t>2026-04-10</t>
        </is>
      </c>
      <c r="B4" s="21" t="inlineStr">
        <is>
          <t>eva</t>
        </is>
      </c>
      <c r="C4" s="21" t="inlineStr">
        <is>
          <t>girl5201128@gmail.com</t>
        </is>
      </c>
      <c r="D4" s="21" t="inlineStr">
        <is>
          <t>是</t>
        </is>
      </c>
      <c r="E4" s="21" t="inlineStr">
        <is>
          <t>link_in_bio</t>
        </is>
      </c>
      <c r="F4" s="21" t="inlineStr">
        <is>
          <t>（無）</t>
        </is>
      </c>
      <c r="G4" s="22" t="n"/>
      <c r="H4" s="21" t="inlineStr">
        <is>
          <t>未成交</t>
        </is>
      </c>
      <c r="I4" s="23" t="inlineStr">
        <is>
          <t>🔗 Link in Bio</t>
        </is>
      </c>
    </row>
    <row r="5" ht="22" customHeight="1">
      <c r="A5" s="21" t="inlineStr">
        <is>
          <t>2026-04-10</t>
        </is>
      </c>
      <c r="B5" s="21" t="inlineStr">
        <is>
          <t>陳詩芸</t>
        </is>
      </c>
      <c r="C5" s="21" t="inlineStr">
        <is>
          <t>siyun3302@gmail.com</t>
        </is>
      </c>
      <c r="D5" s="21" t="inlineStr">
        <is>
          <t>是</t>
        </is>
      </c>
      <c r="E5" s="21" t="inlineStr">
        <is>
          <t>link_in_bio</t>
        </is>
      </c>
      <c r="F5" s="21" t="inlineStr">
        <is>
          <t>（無）</t>
        </is>
      </c>
      <c r="G5" s="22" t="n"/>
      <c r="H5" s="21" t="inlineStr">
        <is>
          <t>成交</t>
        </is>
      </c>
      <c r="I5" s="23" t="inlineStr">
        <is>
          <t>🔗 Link in Bio</t>
        </is>
      </c>
    </row>
    <row r="6" ht="22" customHeight="1">
      <c r="A6" s="24" t="inlineStr">
        <is>
          <t>2026-04-28</t>
        </is>
      </c>
      <c r="B6" s="24" t="inlineStr">
        <is>
          <t>Rita</t>
        </is>
      </c>
      <c r="C6" s="24" t="inlineStr">
        <is>
          <t>ritafayth@gmail.com</t>
        </is>
      </c>
      <c r="D6" s="24" t="inlineStr">
        <is>
          <t>是</t>
        </is>
      </c>
      <c r="E6" s="24" t="inlineStr">
        <is>
          <t>（無）</t>
        </is>
      </c>
      <c r="F6" s="24" t="inlineStr">
        <is>
          <t>（無）</t>
        </is>
      </c>
      <c r="G6" s="25" t="n"/>
      <c r="H6" s="24" t="inlineStr">
        <is>
          <t>等待諮詢</t>
        </is>
      </c>
      <c r="I6" s="26" t="inlineStr">
        <is>
          <t>❓ 無UTM（其他）</t>
        </is>
      </c>
    </row>
    <row r="7" ht="22" customHeight="1">
      <c r="A7" s="27" t="inlineStr">
        <is>
          <t>2026-04-07</t>
        </is>
      </c>
      <c r="B7" s="27" t="inlineStr">
        <is>
          <t>Jane</t>
        </is>
      </c>
      <c r="C7" s="27" t="inlineStr">
        <is>
          <t>she5011077@gmail.com</t>
        </is>
      </c>
      <c r="D7" s="27" t="inlineStr">
        <is>
          <t>否</t>
        </is>
      </c>
      <c r="E7" s="27" t="inlineStr">
        <is>
          <t>（無）</t>
        </is>
      </c>
      <c r="F7" s="27" t="inlineStr">
        <is>
          <t>（無）</t>
        </is>
      </c>
      <c r="G7" s="28" t="n"/>
      <c r="H7" s="27" t="inlineStr">
        <is>
          <t>無追售</t>
        </is>
      </c>
      <c r="I7" s="29" t="inlineStr">
        <is>
          <t>❌ 不在Systeme名單</t>
        </is>
      </c>
    </row>
    <row r="8" ht="22" customHeight="1">
      <c r="A8" s="27" t="inlineStr">
        <is>
          <t>2026-04-21</t>
        </is>
      </c>
      <c r="B8" s="27" t="inlineStr">
        <is>
          <t>Priscilla Hsu</t>
        </is>
      </c>
      <c r="C8" s="27" t="inlineStr">
        <is>
          <t>priscilahsu0520@gmail.com</t>
        </is>
      </c>
      <c r="D8" s="27" t="inlineStr">
        <is>
          <t>否</t>
        </is>
      </c>
      <c r="E8" s="27" t="inlineStr">
        <is>
          <t>（無）</t>
        </is>
      </c>
      <c r="F8" s="27" t="inlineStr">
        <is>
          <t>（無）</t>
        </is>
      </c>
      <c r="G8" s="28" t="n"/>
      <c r="H8" s="27" t="inlineStr">
        <is>
          <t>等待諮詢</t>
        </is>
      </c>
      <c r="I8" s="29" t="inlineStr">
        <is>
          <t>❌ 不在Systeme名單</t>
        </is>
      </c>
    </row>
    <row r="9" ht="22" customHeight="1">
      <c r="A9" s="27" t="inlineStr">
        <is>
          <t>2026-04-30</t>
        </is>
      </c>
      <c r="B9" s="27" t="inlineStr">
        <is>
          <t>Kelly</t>
        </is>
      </c>
      <c r="C9" s="27" t="inlineStr">
        <is>
          <t>acupoffloof@gmail.com</t>
        </is>
      </c>
      <c r="D9" s="27" t="inlineStr">
        <is>
          <t>否</t>
        </is>
      </c>
      <c r="E9" s="27" t="inlineStr">
        <is>
          <t>（無）</t>
        </is>
      </c>
      <c r="F9" s="27" t="inlineStr">
        <is>
          <t>（無）</t>
        </is>
      </c>
      <c r="G9" s="28" t="n"/>
      <c r="H9" s="27" t="inlineStr">
        <is>
          <t>等待諮詢</t>
        </is>
      </c>
      <c r="I9" s="29" t="inlineStr">
        <is>
          <t>❌ 不在Systeme名單</t>
        </is>
      </c>
    </row>
    <row r="10" ht="22" customHeight="1">
      <c r="A10" s="27" t="inlineStr">
        <is>
          <t>2026-04-09</t>
        </is>
      </c>
      <c r="B10" s="27" t="inlineStr">
        <is>
          <t>林哲寬</t>
        </is>
      </c>
      <c r="C10" s="27" t="inlineStr">
        <is>
          <t>jacky00245@gmail.com</t>
        </is>
      </c>
      <c r="D10" s="27" t="inlineStr">
        <is>
          <t>否</t>
        </is>
      </c>
      <c r="E10" s="27" t="inlineStr">
        <is>
          <t>（無）</t>
        </is>
      </c>
      <c r="F10" s="27" t="inlineStr">
        <is>
          <t>（無）</t>
        </is>
      </c>
      <c r="G10" s="28" t="n"/>
      <c r="H10" s="27" t="inlineStr">
        <is>
          <t>無追售</t>
        </is>
      </c>
      <c r="I10" s="29" t="inlineStr">
        <is>
          <t>❌ 不在Systeme名單</t>
        </is>
      </c>
    </row>
    <row r="11" ht="22" customHeight="1">
      <c r="A11" s="27" t="inlineStr">
        <is>
          <t>2026-04-23</t>
        </is>
      </c>
      <c r="B11" s="27" t="inlineStr">
        <is>
          <t>Sophie</t>
        </is>
      </c>
      <c r="C11" s="27" t="inlineStr">
        <is>
          <t>z5678914@gmail.com</t>
        </is>
      </c>
      <c r="D11" s="27" t="inlineStr">
        <is>
          <t>否</t>
        </is>
      </c>
      <c r="E11" s="27" t="inlineStr">
        <is>
          <t>（無）</t>
        </is>
      </c>
      <c r="F11" s="27" t="inlineStr">
        <is>
          <t>（無）</t>
        </is>
      </c>
      <c r="G11" s="28" t="n"/>
      <c r="H11" s="27" t="inlineStr">
        <is>
          <t>等待諮詢</t>
        </is>
      </c>
      <c r="I11" s="29" t="inlineStr">
        <is>
          <t>❌ 不在Systeme名單</t>
        </is>
      </c>
    </row>
    <row r="12" ht="22" customHeight="1">
      <c r="A12" s="27" t="inlineStr">
        <is>
          <t>2026-04-15</t>
        </is>
      </c>
      <c r="B12" s="27" t="inlineStr">
        <is>
          <t>Bunny</t>
        </is>
      </c>
      <c r="C12" s="27" t="inlineStr">
        <is>
          <t>annie00279@gmail.com</t>
        </is>
      </c>
      <c r="D12" s="27" t="inlineStr">
        <is>
          <t>否</t>
        </is>
      </c>
      <c r="E12" s="27" t="inlineStr">
        <is>
          <t>（無）</t>
        </is>
      </c>
      <c r="F12" s="27" t="inlineStr">
        <is>
          <t>（無）</t>
        </is>
      </c>
      <c r="G12" s="28" t="n"/>
      <c r="H12" s="27" t="inlineStr">
        <is>
          <t>無追售</t>
        </is>
      </c>
      <c r="I12" s="29" t="inlineStr">
        <is>
          <t>❌ 不在Systeme名單</t>
        </is>
      </c>
    </row>
    <row r="13" ht="22" customHeight="1">
      <c r="A13" s="27" t="inlineStr">
        <is>
          <t>2026-04-21</t>
        </is>
      </c>
      <c r="B13" s="27" t="inlineStr">
        <is>
          <t>豆仔 ZIEN</t>
        </is>
      </c>
      <c r="C13" s="27" t="inlineStr">
        <is>
          <t>zien@loudnesslab.com</t>
        </is>
      </c>
      <c r="D13" s="27" t="inlineStr">
        <is>
          <t>否</t>
        </is>
      </c>
      <c r="E13" s="27" t="inlineStr">
        <is>
          <t>（無）</t>
        </is>
      </c>
      <c r="F13" s="27" t="inlineStr">
        <is>
          <t>（無）</t>
        </is>
      </c>
      <c r="G13" s="28" t="n"/>
      <c r="H13" s="27" t="inlineStr">
        <is>
          <t>等待諮詢</t>
        </is>
      </c>
      <c r="I13" s="29" t="inlineStr">
        <is>
          <t>❌ 不在Systeme名單</t>
        </is>
      </c>
    </row>
    <row r="14" ht="22" customHeight="1">
      <c r="A14" s="27" t="inlineStr">
        <is>
          <t>2026-04-01</t>
        </is>
      </c>
      <c r="B14" s="27" t="inlineStr">
        <is>
          <t>林靖翔</t>
        </is>
      </c>
      <c r="C14" s="27" t="inlineStr">
        <is>
          <t>jacky12max@gmail.com</t>
        </is>
      </c>
      <c r="D14" s="27" t="inlineStr">
        <is>
          <t>否</t>
        </is>
      </c>
      <c r="E14" s="27" t="inlineStr">
        <is>
          <t>（無）</t>
        </is>
      </c>
      <c r="F14" s="27" t="inlineStr">
        <is>
          <t>（無）</t>
        </is>
      </c>
      <c r="G14" s="28" t="n"/>
      <c r="H14" s="27" t="inlineStr">
        <is>
          <t>未成交</t>
        </is>
      </c>
      <c r="I14" s="29" t="inlineStr">
        <is>
          <t>❌ 不在Systeme名單</t>
        </is>
      </c>
    </row>
    <row r="15" ht="22" customHeight="1">
      <c r="A15" s="27" t="inlineStr">
        <is>
          <t>2026-04-04</t>
        </is>
      </c>
      <c r="B15" s="27" t="inlineStr">
        <is>
          <t>何家興</t>
        </is>
      </c>
      <c r="C15" s="27" t="inlineStr">
        <is>
          <t>fengbei24@gmail.com</t>
        </is>
      </c>
      <c r="D15" s="27" t="inlineStr">
        <is>
          <t>否</t>
        </is>
      </c>
      <c r="E15" s="27" t="inlineStr">
        <is>
          <t>（無）</t>
        </is>
      </c>
      <c r="F15" s="27" t="inlineStr">
        <is>
          <t>（無）</t>
        </is>
      </c>
      <c r="G15" s="28" t="n"/>
      <c r="H15" s="27" t="inlineStr">
        <is>
          <t>成交</t>
        </is>
      </c>
      <c r="I15" s="29" t="inlineStr">
        <is>
          <t>❌ 不在Systeme名單</t>
        </is>
      </c>
    </row>
    <row r="16" ht="22" customHeight="1">
      <c r="A16" s="27" t="inlineStr">
        <is>
          <t>2026-04-07</t>
        </is>
      </c>
      <c r="B16" s="27" t="inlineStr">
        <is>
          <t>張宏臺</t>
        </is>
      </c>
      <c r="C16" s="27" t="inlineStr">
        <is>
          <t>ch0988341341@gmail.com</t>
        </is>
      </c>
      <c r="D16" s="27" t="inlineStr">
        <is>
          <t>否</t>
        </is>
      </c>
      <c r="E16" s="27" t="inlineStr">
        <is>
          <t>（無）</t>
        </is>
      </c>
      <c r="F16" s="27" t="inlineStr">
        <is>
          <t>（無）</t>
        </is>
      </c>
      <c r="G16" s="28" t="n"/>
      <c r="H16" s="27" t="inlineStr">
        <is>
          <t>未出席</t>
        </is>
      </c>
      <c r="I16" s="29" t="inlineStr">
        <is>
          <t>❌ 不在Systeme名單</t>
        </is>
      </c>
    </row>
    <row r="17" ht="22" customHeight="1">
      <c r="A17" s="27" t="inlineStr">
        <is>
          <t>2026-04-03</t>
        </is>
      </c>
      <c r="B17" s="27" t="inlineStr">
        <is>
          <t>Annie</t>
        </is>
      </c>
      <c r="C17" s="27" t="inlineStr">
        <is>
          <t>theanniedrt@gmail.com</t>
        </is>
      </c>
      <c r="D17" s="27" t="inlineStr">
        <is>
          <t>否</t>
        </is>
      </c>
      <c r="E17" s="27" t="inlineStr">
        <is>
          <t>（無）</t>
        </is>
      </c>
      <c r="F17" s="27" t="inlineStr">
        <is>
          <t>（無）</t>
        </is>
      </c>
      <c r="G17" s="28" t="n"/>
      <c r="H17" s="27" t="inlineStr">
        <is>
          <t>成交</t>
        </is>
      </c>
      <c r="I17" s="29" t="inlineStr">
        <is>
          <t>❌ 不在Systeme名單</t>
        </is>
      </c>
    </row>
    <row r="18" ht="22" customHeight="1">
      <c r="A18" s="27" t="inlineStr">
        <is>
          <t>2026-04-01</t>
        </is>
      </c>
      <c r="B18" s="27" t="inlineStr">
        <is>
          <t>江芳瑀</t>
        </is>
      </c>
      <c r="C18" s="27" t="inlineStr">
        <is>
          <t>fsjh11415@gmail.com</t>
        </is>
      </c>
      <c r="D18" s="27" t="inlineStr">
        <is>
          <t>否</t>
        </is>
      </c>
      <c r="E18" s="27" t="inlineStr">
        <is>
          <t>（無）</t>
        </is>
      </c>
      <c r="F18" s="27" t="inlineStr">
        <is>
          <t>（無）</t>
        </is>
      </c>
      <c r="G18" s="28" t="n"/>
      <c r="H18" s="27" t="inlineStr">
        <is>
          <t>成交</t>
        </is>
      </c>
      <c r="I18" s="29" t="inlineStr">
        <is>
          <t>❌ 不在Systeme名單</t>
        </is>
      </c>
    </row>
    <row r="19" ht="22" customHeight="1">
      <c r="A19" s="27" t="inlineStr">
        <is>
          <t>2026-04-10</t>
        </is>
      </c>
      <c r="B19" s="27" t="inlineStr">
        <is>
          <t>趙韋筑</t>
        </is>
      </c>
      <c r="C19" s="27" t="inlineStr">
        <is>
          <t>apetyerweichu@gmail.com</t>
        </is>
      </c>
      <c r="D19" s="27" t="inlineStr">
        <is>
          <t>否</t>
        </is>
      </c>
      <c r="E19" s="27" t="inlineStr">
        <is>
          <t>（無）</t>
        </is>
      </c>
      <c r="F19" s="27" t="inlineStr">
        <is>
          <t>（無）</t>
        </is>
      </c>
      <c r="G19" s="28" t="n"/>
      <c r="H19" s="27" t="inlineStr">
        <is>
          <t>成交</t>
        </is>
      </c>
      <c r="I19" s="29" t="inlineStr">
        <is>
          <t>❌ 不在Systeme名單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12" customWidth="1" min="3" max="3"/>
    <col width="12" customWidth="1" min="4" max="4"/>
    <col width="12" customWidth="1" min="5" max="5"/>
    <col width="8" customWidth="1" min="6" max="6"/>
    <col width="12" customWidth="1" min="7" max="7"/>
  </cols>
  <sheetData>
    <row r="1" ht="34" customHeight="1">
      <c r="A1" s="1" t="inlineStr">
        <is>
          <t>Systeme 名單 UTM 統計｜2026年3月W14–4月W16（三週合併）</t>
        </is>
      </c>
    </row>
    <row r="2" ht="36" customHeight="1">
      <c r="A2" s="2" t="inlineStr">
        <is>
          <t>utm_content</t>
        </is>
      </c>
      <c r="B2" s="2" t="inlineStr">
        <is>
          <t>廣告名稱</t>
        </is>
      </c>
      <c r="C2" s="2" t="inlineStr">
        <is>
          <t>廣告花費(USD)</t>
        </is>
      </c>
      <c r="D2" s="2" t="inlineStr">
        <is>
          <t>Meta成果數</t>
        </is>
      </c>
      <c r="E2" s="2" t="inlineStr">
        <is>
          <t>Systeme名單數</t>
        </is>
      </c>
      <c r="F2" s="2" t="inlineStr">
        <is>
          <t>諮詢數</t>
        </is>
      </c>
      <c r="G2" s="2" t="inlineStr">
        <is>
          <t>諮詢轉換率</t>
        </is>
      </c>
    </row>
    <row r="3" ht="22" customHeight="1">
      <c r="A3" s="3" t="inlineStr">
        <is>
          <t>（空白）</t>
        </is>
      </c>
      <c r="B3" s="3" t="inlineStr">
        <is>
          <t>（廣告報表中無對應）</t>
        </is>
      </c>
      <c r="C3" s="5" t="n"/>
      <c r="D3" s="4" t="n"/>
      <c r="E3" s="4" t="n">
        <v>285</v>
      </c>
      <c r="F3" s="4" t="n">
        <v>0</v>
      </c>
      <c r="G3" s="30" t="n">
        <v>0</v>
      </c>
    </row>
    <row r="4" ht="22" customHeight="1">
      <c r="A4" s="18" t="inlineStr">
        <is>
          <t>120231851090270783</t>
        </is>
      </c>
      <c r="B4" s="18" t="inlineStr">
        <is>
          <t>0912 I 人變體Ｂ_反預設</t>
        </is>
      </c>
      <c r="C4" s="19" t="n">
        <v>466.55</v>
      </c>
      <c r="D4" s="31" t="n">
        <v>112</v>
      </c>
      <c r="E4" s="31" t="n">
        <v>64</v>
      </c>
      <c r="F4" s="32" t="n">
        <v>1</v>
      </c>
      <c r="G4" s="33" t="n">
        <v>0.015625</v>
      </c>
    </row>
    <row r="5" ht="22" customHeight="1">
      <c r="A5" s="3" t="inlineStr">
        <is>
          <t>120220257203550783</t>
        </is>
      </c>
      <c r="B5" s="3" t="inlineStr">
        <is>
          <t>0426 I 人的長遠經營法</t>
        </is>
      </c>
      <c r="C5" s="5" t="n">
        <v>282.48</v>
      </c>
      <c r="D5" s="4" t="n">
        <v>83</v>
      </c>
      <c r="E5" s="4" t="n">
        <v>51</v>
      </c>
      <c r="F5" s="4" t="n">
        <v>0</v>
      </c>
      <c r="G5" s="30" t="n">
        <v>0</v>
      </c>
    </row>
    <row r="6" ht="22" customHeight="1">
      <c r="A6" s="8" t="inlineStr">
        <is>
          <t>120226368838380783</t>
        </is>
      </c>
      <c r="B6" s="8" t="inlineStr">
        <is>
          <t>0623 Ｉ人變體Ｃ_不跟風</t>
        </is>
      </c>
      <c r="C6" s="10" t="n">
        <v>369.23</v>
      </c>
      <c r="D6" s="9" t="n">
        <v>110</v>
      </c>
      <c r="E6" s="9" t="n">
        <v>47</v>
      </c>
      <c r="F6" s="9" t="n">
        <v>0</v>
      </c>
      <c r="G6" s="34" t="n">
        <v>0</v>
      </c>
    </row>
    <row r="7" ht="22" customHeight="1">
      <c r="A7" s="3" t="inlineStr">
        <is>
          <t>120232166679900783</t>
        </is>
      </c>
      <c r="B7" s="3" t="inlineStr">
        <is>
          <t>0917 用知識發光</t>
        </is>
      </c>
      <c r="C7" s="5" t="n">
        <v>276.63</v>
      </c>
      <c r="D7" s="4" t="n">
        <v>73</v>
      </c>
      <c r="E7" s="4" t="n">
        <v>46</v>
      </c>
      <c r="F7" s="4" t="n">
        <v>0</v>
      </c>
      <c r="G7" s="30" t="n">
        <v>0</v>
      </c>
    </row>
    <row r="8" ht="22" customHeight="1">
      <c r="A8" s="8" t="inlineStr">
        <is>
          <t>120241841146670783</t>
        </is>
      </c>
      <c r="B8" s="8" t="inlineStr">
        <is>
          <t>0327 假裝外向</t>
        </is>
      </c>
      <c r="C8" s="10" t="n">
        <v>162.56</v>
      </c>
      <c r="D8" s="9" t="n">
        <v>49</v>
      </c>
      <c r="E8" s="9" t="n">
        <v>21</v>
      </c>
      <c r="F8" s="9" t="n">
        <v>0</v>
      </c>
      <c r="G8" s="34" t="n">
        <v>0</v>
      </c>
    </row>
    <row r="9" ht="22" customHeight="1">
      <c r="A9" s="3" t="inlineStr">
        <is>
          <t>120241838885270783</t>
        </is>
      </c>
      <c r="B9" s="3" t="inlineStr">
        <is>
          <t>0327 假裝外向</t>
        </is>
      </c>
      <c r="C9" s="5" t="n">
        <v>256.27</v>
      </c>
      <c r="D9" s="4" t="n">
        <v>68</v>
      </c>
      <c r="E9" s="4" t="n">
        <v>19</v>
      </c>
      <c r="F9" s="4" t="n">
        <v>0</v>
      </c>
      <c r="G9" s="30" t="n">
        <v>0</v>
      </c>
    </row>
    <row r="10" ht="22" customHeight="1">
      <c r="A10" s="8" t="inlineStr">
        <is>
          <t>link_in_bio</t>
        </is>
      </c>
      <c r="B10" s="8" t="inlineStr">
        <is>
          <t>（Link in Bio）</t>
        </is>
      </c>
      <c r="C10" s="10" t="n"/>
      <c r="D10" s="9" t="n"/>
      <c r="E10" s="9" t="n">
        <v>16</v>
      </c>
      <c r="F10" s="9" t="n">
        <v>0</v>
      </c>
      <c r="G10" s="34" t="n">
        <v>0</v>
      </c>
    </row>
    <row r="11" ht="22" customHeight="1">
      <c r="A11" s="3" t="inlineStr">
        <is>
          <t>120241842135890783</t>
        </is>
      </c>
      <c r="B11" s="3" t="inlineStr">
        <is>
          <t>0327 90% 新手踩坑</t>
        </is>
      </c>
      <c r="C11" s="5" t="n">
        <v>93.43000000000001</v>
      </c>
      <c r="D11" s="4" t="n">
        <v>25</v>
      </c>
      <c r="E11" s="4" t="n">
        <v>9</v>
      </c>
      <c r="F11" s="4" t="n">
        <v>0</v>
      </c>
      <c r="G11" s="30" t="n">
        <v>0</v>
      </c>
    </row>
    <row r="12" ht="22" customHeight="1">
      <c r="A12" s="8" t="inlineStr">
        <is>
          <t>120237101955040783</t>
        </is>
      </c>
      <c r="B12" s="8" t="inlineStr">
        <is>
          <t>1209 安靜擴張事業藍圖</t>
        </is>
      </c>
      <c r="C12" s="10" t="n">
        <v>108.94</v>
      </c>
      <c r="D12" s="9" t="n">
        <v>29</v>
      </c>
      <c r="E12" s="9" t="n">
        <v>8</v>
      </c>
      <c r="F12" s="9" t="n">
        <v>0</v>
      </c>
      <c r="G12" s="34" t="n">
        <v>0</v>
      </c>
    </row>
    <row r="13" ht="22" customHeight="1">
      <c r="A13" s="3" t="inlineStr">
        <is>
          <t>120237101996710783</t>
        </is>
      </c>
      <c r="B13" s="3" t="inlineStr">
        <is>
          <t>1209 安靜擴張事業藍圖</t>
        </is>
      </c>
      <c r="C13" s="5" t="n">
        <v>16.23</v>
      </c>
      <c r="D13" s="4" t="n">
        <v>8</v>
      </c>
      <c r="E13" s="4" t="n">
        <v>4</v>
      </c>
      <c r="F13" s="4" t="n">
        <v>0</v>
      </c>
      <c r="G13" s="30" t="n">
        <v>0</v>
      </c>
    </row>
    <row r="14" ht="22" customHeight="1">
      <c r="A14" s="8" t="inlineStr">
        <is>
          <t>120240827446360783</t>
        </is>
      </c>
      <c r="B14" s="8" t="inlineStr">
        <is>
          <t>0307 用知識發光 - 複本</t>
        </is>
      </c>
      <c r="C14" s="10" t="n">
        <v>35.12</v>
      </c>
      <c r="D14" s="9" t="n">
        <v>6</v>
      </c>
      <c r="E14" s="9" t="n">
        <v>3</v>
      </c>
      <c r="F14" s="9" t="n">
        <v>0</v>
      </c>
      <c r="G14" s="34" t="n">
        <v>0</v>
      </c>
    </row>
    <row r="15" ht="22" customHeight="1">
      <c r="A15" s="3" t="inlineStr">
        <is>
          <t>120234830077320783</t>
        </is>
      </c>
      <c r="B15" s="3" t="inlineStr">
        <is>
          <t>1031 不日更坐收長遠效益</t>
        </is>
      </c>
      <c r="C15" s="5" t="n">
        <v>34.6</v>
      </c>
      <c r="D15" s="4" t="n">
        <v>8</v>
      </c>
      <c r="E15" s="4" t="n">
        <v>1</v>
      </c>
      <c r="F15" s="4" t="n">
        <v>0</v>
      </c>
      <c r="G15" s="30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2026-04-20T11:45:22Z</dcterms:created>
  <dcterms:modified xsi:type="dcterms:W3CDTF">2026-04-20T11:45:22Z</dcterms:modified>
</cp:coreProperties>
</file>